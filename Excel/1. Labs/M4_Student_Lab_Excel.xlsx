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ja\Desktop\STEP\Excel\1. Labs\"/>
    </mc:Choice>
  </mc:AlternateContent>
  <xr:revisionPtr revIDLastSave="0" documentId="13_ncr:1_{AA5FB120-5DD5-4F2D-8D98-6D93DC1F9B9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Named_Ranges_Lab" sheetId="1" r:id="rId1"/>
    <sheet name="Employee_Master" sheetId="2" r:id="rId2"/>
    <sheet name="Salary_Lookup" sheetId="3" r:id="rId3"/>
  </sheets>
  <definedNames>
    <definedName name="_xlnm._FilterDatabase" localSheetId="1" hidden="1">Employee_Master!$A$1:$S$154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9LGJ85ktTcgiTK11TAlGu8EIAVH4fnpGdrTVzYKKOIk="/>
    </ext>
  </extLst>
</workbook>
</file>

<file path=xl/calcChain.xml><?xml version="1.0" encoding="utf-8"?>
<calcChain xmlns="http://schemas.openxmlformats.org/spreadsheetml/2006/main">
  <c r="T4" i="2" l="1"/>
  <c r="A14" i="3"/>
  <c r="A13" i="3"/>
  <c r="A12" i="3"/>
  <c r="A11" i="3"/>
  <c r="A10" i="3"/>
</calcChain>
</file>

<file path=xl/sharedStrings.xml><?xml version="1.0" encoding="utf-8"?>
<sst xmlns="http://schemas.openxmlformats.org/spreadsheetml/2006/main" count="2381" uniqueCount="881">
  <si>
    <t>Module 4 — Guided Lab: Named Ranges</t>
  </si>
  <si>
    <t>STUDENT ANSWER AREA</t>
  </si>
  <si>
    <t>Each problem builds on the previous one — complete them in order. Work on the Employee_Master sheet (tab below) and use Ctrl+F3 at any time to open the Name Manager.
Key cells: Salary = column I, Performance_Score = column J, Department = column F, Tax Rate = cell T2, Unique departments = V2:V11.</t>
  </si>
  <si>
    <t>Creating Named Ranges</t>
  </si>
  <si>
    <t>Your Answers</t>
  </si>
  <si>
    <t>On the Employee_Master sheet, select the Salary column data (cells I2 through I154, excluding the header).
Click the Name Box (top-left corner where it shows the cell address), type Salaries, and press Enter.
Now test it: go to any blank cell on the Salary_Lookup sheet and type =SUM(Salaries). Press Enter.
Does the formula calculate the total of all salaries?</t>
  </si>
  <si>
    <t>(Y/N)</t>
  </si>
  <si>
    <t>Total salary value:</t>
  </si>
  <si>
    <t>Works across sheets?</t>
  </si>
  <si>
    <t>Create three more Named Ranges using Formulas tab → Define Name:
(a) PerfScores → pointing to J2:J154 (Performance_Score column)
(b) Departments → pointing to F2:F154 (Department column)
(c) TaxRate → pointing to cell T2 on Employee_Master
     (First type the value 18% in cell T2)
For each: set Scope = Workbook, add a brief comment.
Open Name Manager (Ctrl+F3). Do all four names appear?
(Salaries from Problem 1 + the three you just created)</t>
  </si>
  <si>
    <t>18% typed in T2?</t>
  </si>
  <si>
    <t>PerfScores created?</t>
  </si>
  <si>
    <t xml:space="preserve">  Refers to:</t>
  </si>
  <si>
    <t>(J2:J154)</t>
  </si>
  <si>
    <t>Departments created?</t>
  </si>
  <si>
    <t>(F2:F154)</t>
  </si>
  <si>
    <t>TaxRate created?</t>
  </si>
  <si>
    <t>(T2)</t>
  </si>
  <si>
    <t>All 4 in Name Manager?</t>
  </si>
  <si>
    <t>Using Named Ranges in Formulas</t>
  </si>
  <si>
    <t>In blank cells on any sheet, write the following formulas and record the results:
(a) =SUM(Salaries)              → total salary bill
(b) =AVERAGE(PerfScores)  → average performance score
(c) =MAX(Salaries)              → highest salary
(d) =MIN(Salaries)               → lowest salary
(e) =COUNTA(Departments) → total department entries
Do any of these formulas need $ signs to work correctly?</t>
  </si>
  <si>
    <t>(a) =SUM(Salaries):</t>
  </si>
  <si>
    <t>(b) =AVERAGE(PerfScores):</t>
  </si>
  <si>
    <t>(c) =MAX(Salaries):</t>
  </si>
  <si>
    <t>(d) =MIN(Salaries):</t>
  </si>
  <si>
    <t>(e) =COUNTA(Departments):</t>
  </si>
  <si>
    <t>$ signs needed?</t>
  </si>
  <si>
    <t>Why / why not?</t>
  </si>
  <si>
    <t>Named Ranges in Data Validation</t>
  </si>
  <si>
    <t>Create a Named Range called DeptList pointing to the unique department list in V2:V11 on Employee_Master.
(The 10 department names are pre-filled there for you.)
Formulas → Define Name → Name: DeptList
Refers To: =Employee_Master!$V$2:$V$11 → OK
Now go to a blank column, select 10 empty cells (e.g., W2:W11).
Apply Data Validation: Data → Data Validation → Allow: List
Source: =DeptList → OK
Test the dropdown — does it show all 10 departments?</t>
  </si>
  <si>
    <t>DeptList created?</t>
  </si>
  <si>
    <t>(V2:V11)</t>
  </si>
  <si>
    <t>Dropdown works?</t>
  </si>
  <si>
    <t>Shows all 10 depts?</t>
  </si>
  <si>
    <t>List 3 departments you see:</t>
  </si>
  <si>
    <t xml:space="preserve">  Dept 1:</t>
  </si>
  <si>
    <t xml:space="preserve">  Dept 2:</t>
  </si>
  <si>
    <t xml:space="preserve">  Dept 3:</t>
  </si>
  <si>
    <t>Name Manager: Edit, Delete &amp; Audit</t>
  </si>
  <si>
    <t>Open Name Manager (Ctrl+F3). You should see at least 5 names:
Salaries, PerfScores, Departments, TaxRate, DeptList.
Do the following three tasks:
(a) EDIT TaxRate — change the comment to:
    "GST rate applicable to all salary calculations"
(b) CREATE a new name: HighSalaryThreshold
    First type 1500000 in cell T4 on Employee_Master.
    Then: Name Manager → New → Name: HighSalaryThreshold
    Refers To: =Employee_Master!$T$4 → OK
(c) DELETE the Departments name
    (We will use the table structured reference instead.)
How many names remain? List them all.</t>
  </si>
  <si>
    <t>(a) TaxRate comment updated?</t>
  </si>
  <si>
    <t>(b) 1500000 typed in T4?</t>
  </si>
  <si>
    <t>(b) HighSalaryThreshold created?</t>
  </si>
  <si>
    <t xml:space="preserve">    Refers to:</t>
  </si>
  <si>
    <t>(T4)</t>
  </si>
  <si>
    <t>(c) Departments deleted?</t>
  </si>
  <si>
    <t>Names remaining (count):</t>
  </si>
  <si>
    <t>Name 1:</t>
  </si>
  <si>
    <t>Name 2:</t>
  </si>
  <si>
    <t>Name 3:</t>
  </si>
  <si>
    <t>Name 4:</t>
  </si>
  <si>
    <t>Name 5:</t>
  </si>
  <si>
    <t>— End of Student Lab — Module 4: Named Ranges —</t>
  </si>
  <si>
    <t>Emp_ID</t>
  </si>
  <si>
    <t>First_Name</t>
  </si>
  <si>
    <t>Last_Name</t>
  </si>
  <si>
    <t>Full_Name</t>
  </si>
  <si>
    <t>Email</t>
  </si>
  <si>
    <t>Department</t>
  </si>
  <si>
    <t>Designation</t>
  </si>
  <si>
    <t>Join_Date</t>
  </si>
  <si>
    <t>Salary</t>
  </si>
  <si>
    <t>Performance_Score</t>
  </si>
  <si>
    <t>City</t>
  </si>
  <si>
    <t>State</t>
  </si>
  <si>
    <t>PIN</t>
  </si>
  <si>
    <t>Manager_ID</t>
  </si>
  <si>
    <t>Status</t>
  </si>
  <si>
    <t>Project_Name</t>
  </si>
  <si>
    <t>Experience_Years</t>
  </si>
  <si>
    <t>Gender</t>
  </si>
  <si>
    <t>Phone</t>
  </si>
  <si>
    <t>Tax_Rate</t>
  </si>
  <si>
    <t>Unique_Depts</t>
  </si>
  <si>
    <t>EMP0001</t>
  </si>
  <si>
    <t>Rahul</t>
  </si>
  <si>
    <t>Deshmukh</t>
  </si>
  <si>
    <t>Rahul Deshmukh</t>
  </si>
  <si>
    <t>rahul.deshmukh@technovaIT.com</t>
  </si>
  <si>
    <t>Sales</t>
  </si>
  <si>
    <t>Business Development Manager</t>
  </si>
  <si>
    <t>Bengaluru</t>
  </si>
  <si>
    <t>Karnataka</t>
  </si>
  <si>
    <t>560078</t>
  </si>
  <si>
    <t>MGMT</t>
  </si>
  <si>
    <t>Resigned</t>
  </si>
  <si>
    <t>Project Gateway</t>
  </si>
  <si>
    <t>M</t>
  </si>
  <si>
    <t>+91-9876131244</t>
  </si>
  <si>
    <t>Data Analytics</t>
  </si>
  <si>
    <t>EMP0002</t>
  </si>
  <si>
    <t>Arjun</t>
  </si>
  <si>
    <t>Gupta</t>
  </si>
  <si>
    <t>Arjun Gupta</t>
  </si>
  <si>
    <t>arjun.gupta@technovaIT.com</t>
  </si>
  <si>
    <t>Product</t>
  </si>
  <si>
    <t>Product Analyst</t>
  </si>
  <si>
    <t>Gurugram</t>
  </si>
  <si>
    <t>Haryana</t>
  </si>
  <si>
    <t>122001</t>
  </si>
  <si>
    <t>Active</t>
  </si>
  <si>
    <t>Project Horizon</t>
  </si>
  <si>
    <t>+91-8899391704</t>
  </si>
  <si>
    <t>(Students: type 18% in T2)</t>
  </si>
  <si>
    <t>Engineering</t>
  </si>
  <si>
    <t>EMP0003</t>
  </si>
  <si>
    <t>Anand</t>
  </si>
  <si>
    <t>Iyer</t>
  </si>
  <si>
    <t>Anand Iyer</t>
  </si>
  <si>
    <t>anand.iyer@technovaIT.com</t>
  </si>
  <si>
    <t>IT Support</t>
  </si>
  <si>
    <t>IT Support Specialist</t>
  </si>
  <si>
    <t>Pune</t>
  </si>
  <si>
    <t>Maharashtra</t>
  </si>
  <si>
    <t>411038</t>
  </si>
  <si>
    <t>Project Beacon</t>
  </si>
  <si>
    <t>+91-9988201414</t>
  </si>
  <si>
    <t>Finance</t>
  </si>
  <si>
    <t>EMP0004</t>
  </si>
  <si>
    <t>Arun</t>
  </si>
  <si>
    <t>Mishra</t>
  </si>
  <si>
    <t>Arun Mishra</t>
  </si>
  <si>
    <t>arun.mishra@technovaIT.com</t>
  </si>
  <si>
    <t>Sales Executive</t>
  </si>
  <si>
    <t>Noida</t>
  </si>
  <si>
    <t>Uttar Pradesh</t>
  </si>
  <si>
    <t>201301</t>
  </si>
  <si>
    <t>Project Infinity</t>
  </si>
  <si>
    <t>+91-7654969693</t>
  </si>
  <si>
    <t>Human Resources</t>
  </si>
  <si>
    <t>EMP0005</t>
  </si>
  <si>
    <t>Ananya</t>
  </si>
  <si>
    <t>Patil</t>
  </si>
  <si>
    <t>Ananya Patil</t>
  </si>
  <si>
    <t>ananya.patil@technovaIT.com</t>
  </si>
  <si>
    <t>Marketing</t>
  </si>
  <si>
    <t>Marketing Executive</t>
  </si>
  <si>
    <t>Bengaluru, Karnataka, 560078</t>
  </si>
  <si>
    <t>F</t>
  </si>
  <si>
    <t>+91-9988391476</t>
  </si>
  <si>
    <t>EMP0006</t>
  </si>
  <si>
    <t>Ananya Iyer</t>
  </si>
  <si>
    <t>ananya.iyer@technovaIT.com</t>
  </si>
  <si>
    <t>Operations</t>
  </si>
  <si>
    <t>Process Executive</t>
  </si>
  <si>
    <t>Project Lighthouse</t>
  </si>
  <si>
    <t>+91-8765660086</t>
  </si>
  <si>
    <t>EMP0007</t>
  </si>
  <si>
    <t>Deepak</t>
  </si>
  <si>
    <t>Choudhury</t>
  </si>
  <si>
    <t>Deepak Choudhury</t>
  </si>
  <si>
    <t>deepak.choudhury@technovaIT.com</t>
  </si>
  <si>
    <t>Project Delta</t>
  </si>
  <si>
    <t>+91-7890133659</t>
  </si>
  <si>
    <t>EMP0008</t>
  </si>
  <si>
    <t>Manoj</t>
  </si>
  <si>
    <t>Singh</t>
  </si>
  <si>
    <t>Manoj Singh</t>
  </si>
  <si>
    <t>manoj.singh@technovaIT.com</t>
  </si>
  <si>
    <t>Senior Accountant</t>
  </si>
  <si>
    <t>Kochi</t>
  </si>
  <si>
    <t>Kerala</t>
  </si>
  <si>
    <t>682001</t>
  </si>
  <si>
    <t>9988377746</t>
  </si>
  <si>
    <t>EMP0009</t>
  </si>
  <si>
    <t>Ravi</t>
  </si>
  <si>
    <t>Ravi Deshmukh</t>
  </si>
  <si>
    <t>ravi.deshmukh@technovaIT.com</t>
  </si>
  <si>
    <t>+91-8765634277</t>
  </si>
  <si>
    <t>Quality Assurance</t>
  </si>
  <si>
    <t>EMP0010</t>
  </si>
  <si>
    <t>Anjali</t>
  </si>
  <si>
    <t>Srinivasan</t>
  </si>
  <si>
    <t>Anjali Srinivasan</t>
  </si>
  <si>
    <t>anjali.srinivasan@technovaIT.com</t>
  </si>
  <si>
    <t>Software Engineer</t>
  </si>
  <si>
    <t>+91-9988500156</t>
  </si>
  <si>
    <t>EMP0011</t>
  </si>
  <si>
    <t>Nandini</t>
  </si>
  <si>
    <t>Hegde</t>
  </si>
  <si>
    <t>Nandini Hegde</t>
  </si>
  <si>
    <t>nandini.hegde@technovaIT.com</t>
  </si>
  <si>
    <t>Inside Sales Representative</t>
  </si>
  <si>
    <t>Hyderabad</t>
  </si>
  <si>
    <t>Telangana</t>
  </si>
  <si>
    <t>500001</t>
  </si>
  <si>
    <t>Probation</t>
  </si>
  <si>
    <t>Project Eagle</t>
  </si>
  <si>
    <t>+91-7890772097</t>
  </si>
  <si>
    <t>EMP0012</t>
  </si>
  <si>
    <t xml:space="preserve">  Suresh </t>
  </si>
  <si>
    <t>Das</t>
  </si>
  <si>
    <t xml:space="preserve">  Suresh  Das</t>
  </si>
  <si>
    <t>suresh.das@technovaIT.com</t>
  </si>
  <si>
    <t>Network Engineer</t>
  </si>
  <si>
    <t>Mumbai</t>
  </si>
  <si>
    <t>400053</t>
  </si>
  <si>
    <t>Project Cipher</t>
  </si>
  <si>
    <t>+91-8899211579</t>
  </si>
  <si>
    <t>EMP0013</t>
  </si>
  <si>
    <t>Rajesh</t>
  </si>
  <si>
    <t>Rajesh Hegde</t>
  </si>
  <si>
    <t>rajesh.hegde@technovaIT.com</t>
  </si>
  <si>
    <t>Senior QA Engineer</t>
  </si>
  <si>
    <t>Thiruvananthapuram</t>
  </si>
  <si>
    <t>695001</t>
  </si>
  <si>
    <t>Project Keystone</t>
  </si>
  <si>
    <t>+91-7654612340</t>
  </si>
  <si>
    <t>EMP0014</t>
  </si>
  <si>
    <t>Suresh</t>
  </si>
  <si>
    <t>Menon</t>
  </si>
  <si>
    <t>Suresh Menon</t>
  </si>
  <si>
    <t>suresh.menon@technovaIT.com</t>
  </si>
  <si>
    <t>Project Meridian</t>
  </si>
  <si>
    <t>+91-9988955662</t>
  </si>
  <si>
    <t>EMP0015</t>
  </si>
  <si>
    <t>Kulkarni</t>
  </si>
  <si>
    <t>Anand Kulkarni</t>
  </si>
  <si>
    <t>anand.kulkarni@technovaIT.com</t>
  </si>
  <si>
    <t>HR Manager</t>
  </si>
  <si>
    <t>Chennai, Tamil Nadu, 600001</t>
  </si>
  <si>
    <t>+91-7890736059</t>
  </si>
  <si>
    <t>EMP0016</t>
  </si>
  <si>
    <t>Pooja</t>
  </si>
  <si>
    <t>Pooja Kulkarni</t>
  </si>
  <si>
    <t>pooja.kulkarni@technovaIT.com</t>
  </si>
  <si>
    <t>Content Strategist</t>
  </si>
  <si>
    <t>On Leave</t>
  </si>
  <si>
    <t>+91-8765335612</t>
  </si>
  <si>
    <t>EMP0017</t>
  </si>
  <si>
    <t>Nikhil</t>
  </si>
  <si>
    <t>Sharma</t>
  </si>
  <si>
    <t>Nikhil Sharma</t>
  </si>
  <si>
    <t>nikhil.sharma@technovaIT.com</t>
  </si>
  <si>
    <t>Performance Tester</t>
  </si>
  <si>
    <t>560034</t>
  </si>
  <si>
    <t>+91-9876446479</t>
  </si>
  <si>
    <t>EMP0018</t>
  </si>
  <si>
    <t>Varun</t>
  </si>
  <si>
    <t>Varun Gupta</t>
  </si>
  <si>
    <t>varun.gupta@technovaIT.com</t>
  </si>
  <si>
    <t>Sales Lead</t>
  </si>
  <si>
    <t>+91-7890526833</t>
  </si>
  <si>
    <t>EMP0019</t>
  </si>
  <si>
    <t>Nair</t>
  </si>
  <si>
    <t>Suresh Nair</t>
  </si>
  <si>
    <t>suresh.nair@technovaIT.com</t>
  </si>
  <si>
    <t>Project Atlas</t>
  </si>
  <si>
    <t>+91-9988863587</t>
  </si>
  <si>
    <t>EMP0020</t>
  </si>
  <si>
    <t>Suresh Gupta</t>
  </si>
  <si>
    <t>suresh.gupta@technovaIT.com</t>
  </si>
  <si>
    <t>Digital Marketing Specialist</t>
  </si>
  <si>
    <t>Chennai</t>
  </si>
  <si>
    <t>Tamil Nadu</t>
  </si>
  <si>
    <t>600001</t>
  </si>
  <si>
    <t>+91-8765179046</t>
  </si>
  <si>
    <t>EMP0021</t>
  </si>
  <si>
    <t>Suma</t>
  </si>
  <si>
    <t>Junior Developer</t>
  </si>
  <si>
    <t>400001</t>
  </si>
  <si>
    <t>+91-9988324130</t>
  </si>
  <si>
    <t>EMP0022</t>
  </si>
  <si>
    <t>Sneha</t>
  </si>
  <si>
    <t>Sneha Iyer</t>
  </si>
  <si>
    <t>sneha.iyer@technovaIT.com</t>
  </si>
  <si>
    <t>System Administrator</t>
  </si>
  <si>
    <t>Kolkata</t>
  </si>
  <si>
    <t>West Bengal</t>
  </si>
  <si>
    <t>700001</t>
  </si>
  <si>
    <t>9012682765</t>
  </si>
  <si>
    <t>EMP0023</t>
  </si>
  <si>
    <t>DIVYA</t>
  </si>
  <si>
    <t>Rao</t>
  </si>
  <si>
    <t>DIVYA Rao</t>
  </si>
  <si>
    <t>divya.rao@technovaIT.com</t>
  </si>
  <si>
    <t>+91-9988627276</t>
  </si>
  <si>
    <t>EMP0024</t>
  </si>
  <si>
    <t>Meena</t>
  </si>
  <si>
    <t>Kumar</t>
  </si>
  <si>
    <t>Meena Kumar</t>
  </si>
  <si>
    <t>meena.kumar@technovaIT.com</t>
  </si>
  <si>
    <t>Product Manager</t>
  </si>
  <si>
    <t>+91-8899358175</t>
  </si>
  <si>
    <t>EMP0025</t>
  </si>
  <si>
    <t>Rashmi</t>
  </si>
  <si>
    <t>Rashmi Kumar</t>
  </si>
  <si>
    <t>rashmi.kumar@technovaIT.com</t>
  </si>
  <si>
    <t>QA Engineer</t>
  </si>
  <si>
    <t>Mumbai, Maharashtra, 400053</t>
  </si>
  <si>
    <t>+91-7654515011</t>
  </si>
  <si>
    <t>EMP0026</t>
  </si>
  <si>
    <t>Mohan</t>
  </si>
  <si>
    <t>Agarwal</t>
  </si>
  <si>
    <t>Mohan Agarwal</t>
  </si>
  <si>
    <t>mohan.agarwal@technovaIT.com</t>
  </si>
  <si>
    <t>+91-8899378082</t>
  </si>
  <si>
    <t>EMP0027</t>
  </si>
  <si>
    <t>Reddy</t>
  </si>
  <si>
    <t>Arun Reddy</t>
  </si>
  <si>
    <t>arun.reddy@technovaIT.com</t>
  </si>
  <si>
    <t>411001</t>
  </si>
  <si>
    <t>+91-9012956795</t>
  </si>
  <si>
    <t>EMP0028</t>
  </si>
  <si>
    <t>Lakshmi</t>
  </si>
  <si>
    <t>Banerjee</t>
  </si>
  <si>
    <t>Lakshmi Banerjee</t>
  </si>
  <si>
    <t>lakshmi.banerjee@technovaIT.com</t>
  </si>
  <si>
    <t>500032</t>
  </si>
  <si>
    <t>+91-8765852470</t>
  </si>
  <si>
    <t>EMP0029</t>
  </si>
  <si>
    <t>Arjun Banerjee</t>
  </si>
  <si>
    <t>arjun.banerjee@technovaIT.com</t>
  </si>
  <si>
    <t>+91-9876103717</t>
  </si>
  <si>
    <t>EMP0030</t>
  </si>
  <si>
    <t>Patel</t>
  </si>
  <si>
    <t>Anand Patel</t>
  </si>
  <si>
    <t>anand.patel@technovaIT.com</t>
  </si>
  <si>
    <t>+91-9876824586</t>
  </si>
  <si>
    <t>EMP0031</t>
  </si>
  <si>
    <t>Ajay</t>
  </si>
  <si>
    <t>Ajay Kumar</t>
  </si>
  <si>
    <t>ajay.kumar@technovaIT.com</t>
  </si>
  <si>
    <t>Supply Chain Analyst</t>
  </si>
  <si>
    <t>+91-7654320281</t>
  </si>
  <si>
    <t>EMP0032</t>
  </si>
  <si>
    <t>Mohan Nair</t>
  </si>
  <si>
    <t>mohan.nair@technovaIT.com</t>
  </si>
  <si>
    <t>+91-9988125990</t>
  </si>
  <si>
    <t>EMP0033</t>
  </si>
  <si>
    <t>Harsh</t>
  </si>
  <si>
    <t>Joshi</t>
  </si>
  <si>
    <t>Harsh Joshi</t>
  </si>
  <si>
    <t>harsh.joshi@technovaIT.com</t>
  </si>
  <si>
    <t>+91-8765309267</t>
  </si>
  <si>
    <t>EMP0034</t>
  </si>
  <si>
    <t>ananya</t>
  </si>
  <si>
    <t>ananya Das</t>
  </si>
  <si>
    <t>ananya.das@technovaIT.com</t>
  </si>
  <si>
    <t>Project Falcon</t>
  </si>
  <si>
    <t>+91-9012634150</t>
  </si>
  <si>
    <t>EMP0035</t>
  </si>
  <si>
    <t>Suma Joshi</t>
  </si>
  <si>
    <t>suma.joshi@technovaIT.com</t>
  </si>
  <si>
    <t>+91-9988462479</t>
  </si>
  <si>
    <t>EMP0036</t>
  </si>
  <si>
    <t>Ganesh</t>
  </si>
  <si>
    <t>Ganesh Mishra</t>
  </si>
  <si>
    <t>ganesh.mishra@technovaIT.com</t>
  </si>
  <si>
    <t>+91-9012854377</t>
  </si>
  <si>
    <t>EMP0037</t>
  </si>
  <si>
    <t>Verma</t>
  </si>
  <si>
    <t>Arun Verma</t>
  </si>
  <si>
    <t>arun.verma@technovaIT.com</t>
  </si>
  <si>
    <t>Finance Manager</t>
  </si>
  <si>
    <t>+91-9012528231</t>
  </si>
  <si>
    <t>EMP0038</t>
  </si>
  <si>
    <t>Chakraborty</t>
  </si>
  <si>
    <t>Manoj Chakraborty</t>
  </si>
  <si>
    <t>manoj.chakraborty@technovaIT.com</t>
  </si>
  <si>
    <t>+91-7654525800</t>
  </si>
  <si>
    <t>EMP0039</t>
  </si>
  <si>
    <t>Priya</t>
  </si>
  <si>
    <t>Priya Das</t>
  </si>
  <si>
    <t>priya.das@technovaIT.com</t>
  </si>
  <si>
    <t>+91-7890934692</t>
  </si>
  <si>
    <t>EMP0040</t>
  </si>
  <si>
    <t>Mohan Reddy</t>
  </si>
  <si>
    <t>mohan.reddy@technovaIT.com</t>
  </si>
  <si>
    <t>+91-8765125611</t>
  </si>
  <si>
    <t>EMP0041</t>
  </si>
  <si>
    <t>Bhat</t>
  </si>
  <si>
    <t>Ravi Bhat</t>
  </si>
  <si>
    <t>ravi.bhat@technovaIT.com</t>
  </si>
  <si>
    <t>600042</t>
  </si>
  <si>
    <t>8765787926</t>
  </si>
  <si>
    <t>EMP0042</t>
  </si>
  <si>
    <t>Anand Srinivasan</t>
  </si>
  <si>
    <t>anand.srinivasan@technovaIT.com</t>
  </si>
  <si>
    <t>Accounts Executive</t>
  </si>
  <si>
    <t>+91-8765989545</t>
  </si>
  <si>
    <t>EMP0043</t>
  </si>
  <si>
    <t>Sachin</t>
  </si>
  <si>
    <t>Sachin Patel</t>
  </si>
  <si>
    <t>sachin.patel@technovaIT.com</t>
  </si>
  <si>
    <t>Analytics Manager</t>
  </si>
  <si>
    <t>+91-7890674485</t>
  </si>
  <si>
    <t>EMP0044</t>
  </si>
  <si>
    <t>Meena Deshmukh</t>
  </si>
  <si>
    <t>meena.deshmukh@technovaIT.com</t>
  </si>
  <si>
    <t>Data Engineer</t>
  </si>
  <si>
    <t>+91-8765387936</t>
  </si>
  <si>
    <t>EMP0045</t>
  </si>
  <si>
    <t xml:space="preserve">  Anjali </t>
  </si>
  <si>
    <t xml:space="preserve">  Anjali  Chakraborty</t>
  </si>
  <si>
    <t>anjali.chakraborty@technovaIT.com</t>
  </si>
  <si>
    <t>+91-9988827659</t>
  </si>
  <si>
    <t>EMP0046</t>
  </si>
  <si>
    <t>Venkat</t>
  </si>
  <si>
    <t>Venkat Rao</t>
  </si>
  <si>
    <t>venkat.rao@technovaIT.com</t>
  </si>
  <si>
    <t>+91-9988907189</t>
  </si>
  <si>
    <t>EMP0047</t>
  </si>
  <si>
    <t>Priya Srinivasan</t>
  </si>
  <si>
    <t>priya.srinivasan@technovaIT.com</t>
  </si>
  <si>
    <t>Test Automation Engineer</t>
  </si>
  <si>
    <t>+91-9012870319</t>
  </si>
  <si>
    <t>EMP0048</t>
  </si>
  <si>
    <t>Rashmi Gupta</t>
  </si>
  <si>
    <t>rashmi.gupta@technovaIT.com</t>
  </si>
  <si>
    <t>Senior Data Analyst</t>
  </si>
  <si>
    <t>+91-8765981334</t>
  </si>
  <si>
    <t>EMP0049</t>
  </si>
  <si>
    <t>Divya</t>
  </si>
  <si>
    <t>Divya Mishra</t>
  </si>
  <si>
    <t>divya.mishra@technovaIT.com</t>
  </si>
  <si>
    <t>+91-8765152727</t>
  </si>
  <si>
    <t>EMP0050</t>
  </si>
  <si>
    <t>Manoj Joshi</t>
  </si>
  <si>
    <t>manoj.joshi@technovaIT.com</t>
  </si>
  <si>
    <t>Brand Manager</t>
  </si>
  <si>
    <t>+91-7890185884</t>
  </si>
  <si>
    <t>EMP0051</t>
  </si>
  <si>
    <t>Priya Deshmukh</t>
  </si>
  <si>
    <t>priya.deshmukh@technovaIT.com</t>
  </si>
  <si>
    <t>+91-7890121369</t>
  </si>
  <si>
    <t>EMP0052</t>
  </si>
  <si>
    <t>Divya Gupta</t>
  </si>
  <si>
    <t>divya.gupta@technovaIT.com</t>
  </si>
  <si>
    <t>Talent Acquisition Lead</t>
  </si>
  <si>
    <t>+91-8765735324</t>
  </si>
  <si>
    <t>EMP0053</t>
  </si>
  <si>
    <t>Kavitha</t>
  </si>
  <si>
    <t>Kavitha Srinivasan</t>
  </si>
  <si>
    <t>kavitha.srinivasan@technovaIT.com</t>
  </si>
  <si>
    <t>Recruiter</t>
  </si>
  <si>
    <t>+91-8899824161</t>
  </si>
  <si>
    <t>EMP0054</t>
  </si>
  <si>
    <t>Suresh Chakraborty</t>
  </si>
  <si>
    <t>suresh.chakraborty@technovaIT.com</t>
  </si>
  <si>
    <t>+91-9012488571</t>
  </si>
  <si>
    <t>EMP0055</t>
  </si>
  <si>
    <t>Varun Agarwal</t>
  </si>
  <si>
    <t>varun.agarwal@technovaIT.com</t>
  </si>
  <si>
    <t>Operations Analyst</t>
  </si>
  <si>
    <t>Hyderabad, Telangana, 500001</t>
  </si>
  <si>
    <t>+91-7890582071</t>
  </si>
  <si>
    <t>EMP0056</t>
  </si>
  <si>
    <t>GANESH</t>
  </si>
  <si>
    <t>GANESH Iyer</t>
  </si>
  <si>
    <t>ganesh.iyer@technovaIT.com</t>
  </si>
  <si>
    <t>Product Owner</t>
  </si>
  <si>
    <t>+91-7654993085</t>
  </si>
  <si>
    <t>EMP0057</t>
  </si>
  <si>
    <t>Vikram</t>
  </si>
  <si>
    <t>Vikram Singh</t>
  </si>
  <si>
    <t>vikram.singh@technovaIT.com</t>
  </si>
  <si>
    <t>+91-7890440802</t>
  </si>
  <si>
    <t>EMP0058</t>
  </si>
  <si>
    <t>Rohan</t>
  </si>
  <si>
    <t>Rohan Rao</t>
  </si>
  <si>
    <t>rohan.rao@technovaIT.com</t>
  </si>
  <si>
    <t>+91-8765189771</t>
  </si>
  <si>
    <t>EMP0059</t>
  </si>
  <si>
    <t>Harsh Verma</t>
  </si>
  <si>
    <t>harsh.verma@technovaIT.com</t>
  </si>
  <si>
    <t>+91-7654332360</t>
  </si>
  <si>
    <t>EMP0060</t>
  </si>
  <si>
    <t>Swathi</t>
  </si>
  <si>
    <t>Swathi Das</t>
  </si>
  <si>
    <t>swathi.das@technovaIT.com</t>
  </si>
  <si>
    <t>QA Lead</t>
  </si>
  <si>
    <t>+91-9012575786</t>
  </si>
  <si>
    <t>EMP0061</t>
  </si>
  <si>
    <t>Pradeep</t>
  </si>
  <si>
    <t>Pradeep Singh</t>
  </si>
  <si>
    <t>pradeep.singh@technovaIT.com</t>
  </si>
  <si>
    <t>+91-9988389930</t>
  </si>
  <si>
    <t>EMP0062</t>
  </si>
  <si>
    <t>Rekha</t>
  </si>
  <si>
    <t>Rekha Mishra</t>
  </si>
  <si>
    <t>rekha.mishra@technovaIT.com</t>
  </si>
  <si>
    <t>Delhi</t>
  </si>
  <si>
    <t>110001</t>
  </si>
  <si>
    <t>+91-9012660081</t>
  </si>
  <si>
    <t>EMP0063</t>
  </si>
  <si>
    <t>Sanjay</t>
  </si>
  <si>
    <t>Sanjay Kumar</t>
  </si>
  <si>
    <t>sanjay.kumar@technovaIT.com</t>
  </si>
  <si>
    <t>7654601968</t>
  </si>
  <si>
    <t>EMP0064</t>
  </si>
  <si>
    <t>Rani</t>
  </si>
  <si>
    <t>Rani Iyer</t>
  </si>
  <si>
    <t>rani.iyer@technovaIT.com</t>
  </si>
  <si>
    <t>Tech Lead</t>
  </si>
  <si>
    <t>+91-8899760021</t>
  </si>
  <si>
    <t>EMP0065</t>
  </si>
  <si>
    <t>Karthik</t>
  </si>
  <si>
    <t>Karthik Patel</t>
  </si>
  <si>
    <t>karthik.patel@technovaIT.com</t>
  </si>
  <si>
    <t>Gurugram, Haryana, 122001</t>
  </si>
  <si>
    <t>+91-8765913373</t>
  </si>
  <si>
    <t>EMP0066</t>
  </si>
  <si>
    <t>Shruti</t>
  </si>
  <si>
    <t>Shruti Choudhury</t>
  </si>
  <si>
    <t>shruti.choudhury@technovaIT.com</t>
  </si>
  <si>
    <t>Business Intelligence Analyst</t>
  </si>
  <si>
    <t>+91-9012321275</t>
  </si>
  <si>
    <t>EMP0067</t>
  </si>
  <si>
    <t>mohan</t>
  </si>
  <si>
    <t>mohan Reddy</t>
  </si>
  <si>
    <t>560001</t>
  </si>
  <si>
    <t>+91-8899592738</t>
  </si>
  <si>
    <t>EMP0068</t>
  </si>
  <si>
    <t>Amit</t>
  </si>
  <si>
    <t>Amit Gupta</t>
  </si>
  <si>
    <t>amit.gupta@technovaIT.com</t>
  </si>
  <si>
    <t>Account Manager</t>
  </si>
  <si>
    <t>+91-7890307428</t>
  </si>
  <si>
    <t>EMP0069</t>
  </si>
  <si>
    <t>Kavitha Kulkarni</t>
  </si>
  <si>
    <t>kavitha.kulkarni@technovaIT.com</t>
  </si>
  <si>
    <t>+91-7890696856</t>
  </si>
  <si>
    <t>EMP0070</t>
  </si>
  <si>
    <t>Sachin Nair</t>
  </si>
  <si>
    <t>sachin.nair@technovaIT.com</t>
  </si>
  <si>
    <t>+91-9876727086</t>
  </si>
  <si>
    <t>EMP0071</t>
  </si>
  <si>
    <t>Ganesh Deshmukh</t>
  </si>
  <si>
    <t>ganesh.deshmukh@technovaIT.com</t>
  </si>
  <si>
    <t>+91-7890893005</t>
  </si>
  <si>
    <t>EMP0072</t>
  </si>
  <si>
    <t>Rohan Hegde</t>
  </si>
  <si>
    <t>rohan.hegde@technovaIT.com</t>
  </si>
  <si>
    <t>+91-9988449499</t>
  </si>
  <si>
    <t>EMP0073</t>
  </si>
  <si>
    <t>+91-9876429795</t>
  </si>
  <si>
    <t>EMP0074</t>
  </si>
  <si>
    <t>Nikhil Nair</t>
  </si>
  <si>
    <t>nikhil.nair@technovaIT.com</t>
  </si>
  <si>
    <t>IT Coordinator</t>
  </si>
  <si>
    <t>+91-8899479353</t>
  </si>
  <si>
    <t>EMP0075</t>
  </si>
  <si>
    <t>Bhavana</t>
  </si>
  <si>
    <t>Bhavana Agarwal</t>
  </si>
  <si>
    <t>bhavana.agarwal@technovaIT.com</t>
  </si>
  <si>
    <t>Data Analyst</t>
  </si>
  <si>
    <t>Pune, Maharashtra, 411001</t>
  </si>
  <si>
    <t>+91-9876760626</t>
  </si>
  <si>
    <t>EMP0076</t>
  </si>
  <si>
    <t>Swathi Chakraborty</t>
  </si>
  <si>
    <t>swathi.chakraborty@technovaIT.com</t>
  </si>
  <si>
    <t>+91-9876779172</t>
  </si>
  <si>
    <t>EMP0077</t>
  </si>
  <si>
    <t>Rohan Chakraborty</t>
  </si>
  <si>
    <t>rohan.chakraborty@technovaIT.com</t>
  </si>
  <si>
    <t>+91-8899251668</t>
  </si>
  <si>
    <t>EMP0078</t>
  </si>
  <si>
    <t xml:space="preserve">  Pooja </t>
  </si>
  <si>
    <t xml:space="preserve">  Pooja  Mishra</t>
  </si>
  <si>
    <t>pooja.mishra@technovaIT.com</t>
  </si>
  <si>
    <t>Associate Product Manager</t>
  </si>
  <si>
    <t>+91-7890102689</t>
  </si>
  <si>
    <t>EMP0079</t>
  </si>
  <si>
    <t>Harsh Das</t>
  </si>
  <si>
    <t>harsh.das@technovaIT.com</t>
  </si>
  <si>
    <t>+91-7654678727</t>
  </si>
  <si>
    <t>EMP0080</t>
  </si>
  <si>
    <t>Operations Manager</t>
  </si>
  <si>
    <t>+91-9012595951</t>
  </si>
  <si>
    <t>EMP0081</t>
  </si>
  <si>
    <t>Shruti Banerjee</t>
  </si>
  <si>
    <t>shruti.banerjee@technovaIT.com</t>
  </si>
  <si>
    <t>+91-8899579123</t>
  </si>
  <si>
    <t>EMP0082</t>
  </si>
  <si>
    <t>Harsh Patel</t>
  </si>
  <si>
    <t>harsh.patel@technovaIT.com</t>
  </si>
  <si>
    <t>+91-9988781403</t>
  </si>
  <si>
    <t>EMP0083</t>
  </si>
  <si>
    <t>Nikhil Banerjee</t>
  </si>
  <si>
    <t>nikhil.banerjee@technovaIT.com</t>
  </si>
  <si>
    <t>UX Researcher</t>
  </si>
  <si>
    <t>+91-9012817644</t>
  </si>
  <si>
    <t>EMP0084</t>
  </si>
  <si>
    <t>+91-7890158845</t>
  </si>
  <si>
    <t>EMP0085</t>
  </si>
  <si>
    <t>Arun Menon</t>
  </si>
  <si>
    <t>arun.menon@technovaIT.com</t>
  </si>
  <si>
    <t>+91-8899501126</t>
  </si>
  <si>
    <t>EMP0086</t>
  </si>
  <si>
    <t>Swathi Bhat</t>
  </si>
  <si>
    <t>swathi.bhat@technovaIT.com</t>
  </si>
  <si>
    <t>+91-7654810526</t>
  </si>
  <si>
    <t>EMP0087</t>
  </si>
  <si>
    <t>Meena Reddy</t>
  </si>
  <si>
    <t>meena.reddy@technovaIT.com</t>
  </si>
  <si>
    <t>+91-8765503380</t>
  </si>
  <si>
    <t>EMP0088</t>
  </si>
  <si>
    <t>Kavitha Gupta</t>
  </si>
  <si>
    <t>kavitha.gupta@technovaIT.com</t>
  </si>
  <si>
    <t>9876819112</t>
  </si>
  <si>
    <t>EMP0089</t>
  </si>
  <si>
    <t>ASHOK</t>
  </si>
  <si>
    <t>ASHOK Deshmukh</t>
  </si>
  <si>
    <t>ashok.deshmukh@technovaIT.com</t>
  </si>
  <si>
    <t>+91-7654810687</t>
  </si>
  <si>
    <t>EMP0090</t>
  </si>
  <si>
    <t>Rajesh Nair</t>
  </si>
  <si>
    <t>rajesh.nair@technovaIT.com</t>
  </si>
  <si>
    <t>+91-7654883790</t>
  </si>
  <si>
    <t>EMP0091</t>
  </si>
  <si>
    <t>Meena Rao</t>
  </si>
  <si>
    <t>meena.rao@technovaIT.com</t>
  </si>
  <si>
    <t>HR Coordinator</t>
  </si>
  <si>
    <t>+91-7890409478</t>
  </si>
  <si>
    <t>EMP0092</t>
  </si>
  <si>
    <t>Suresh Choudhury</t>
  </si>
  <si>
    <t>suresh.choudhury@technovaIT.com</t>
  </si>
  <si>
    <t>+91-7890513741</t>
  </si>
  <si>
    <t>EMP0093</t>
  </si>
  <si>
    <t>Sanjay Kulkarni</t>
  </si>
  <si>
    <t>sanjay.kulkarni@technovaIT.com</t>
  </si>
  <si>
    <t>+91-9876749641</t>
  </si>
  <si>
    <t>EMP0094</t>
  </si>
  <si>
    <t>Rani Mishra</t>
  </si>
  <si>
    <t>rani.mishra@technovaIT.com</t>
  </si>
  <si>
    <t>+91-9876139019</t>
  </si>
  <si>
    <t>EMP0095</t>
  </si>
  <si>
    <t>Rohan Nair</t>
  </si>
  <si>
    <t>rohan.nair@technovaIT.com</t>
  </si>
  <si>
    <t>Kolkata, West Bengal, 700001</t>
  </si>
  <si>
    <t>+91-8899878325</t>
  </si>
  <si>
    <t>EMP0096</t>
  </si>
  <si>
    <t>Ganesh Agarwal</t>
  </si>
  <si>
    <t>ganesh.agarwal@technovaIT.com</t>
  </si>
  <si>
    <t>+91-9988566297</t>
  </si>
  <si>
    <t>EMP0097</t>
  </si>
  <si>
    <t>Arun Nair</t>
  </si>
  <si>
    <t>arun.nair@technovaIT.com</t>
  </si>
  <si>
    <t>+91-9876794963</t>
  </si>
  <si>
    <t>EMP0098</t>
  </si>
  <si>
    <t>Rajesh Agarwal</t>
  </si>
  <si>
    <t>rajesh.agarwal@technovaIT.com</t>
  </si>
  <si>
    <t>+91-7890902325</t>
  </si>
  <si>
    <t>EMP0099</t>
  </si>
  <si>
    <t>Pooja Patil</t>
  </si>
  <si>
    <t>pooja.patil@technovaIT.com</t>
  </si>
  <si>
    <t>+91-8899362829</t>
  </si>
  <si>
    <t>EMP0100</t>
  </si>
  <si>
    <t>suresh</t>
  </si>
  <si>
    <t>suresh Banerjee</t>
  </si>
  <si>
    <t>suresh.banerjee@technovaIT.com</t>
  </si>
  <si>
    <t>Senior Software Engineer</t>
  </si>
  <si>
    <t>+91-8765378258</t>
  </si>
  <si>
    <t>EMP0101</t>
  </si>
  <si>
    <t>Karthik Deshmukh</t>
  </si>
  <si>
    <t>karthik.deshmukh@technovaIT.com</t>
  </si>
  <si>
    <t>+91-9988628313</t>
  </si>
  <si>
    <t>EMP0102</t>
  </si>
  <si>
    <t>Ashok</t>
  </si>
  <si>
    <t>Ashok Kumar</t>
  </si>
  <si>
    <t>ashok.kumar@technovaIT.com</t>
  </si>
  <si>
    <t>9876847006</t>
  </si>
  <si>
    <t>EMP0103</t>
  </si>
  <si>
    <t>Anjali Reddy</t>
  </si>
  <si>
    <t>anjali.reddy@technovaIT.com</t>
  </si>
  <si>
    <t>+91-7654575755</t>
  </si>
  <si>
    <t>EMP0104</t>
  </si>
  <si>
    <t>Rashmi Verma</t>
  </si>
  <si>
    <t>rashmi.verma@technovaIT.com</t>
  </si>
  <si>
    <t>Financial Analyst</t>
  </si>
  <si>
    <t>+91-9988455395</t>
  </si>
  <si>
    <t>EMP0105</t>
  </si>
  <si>
    <t>Shruti Verma</t>
  </si>
  <si>
    <t>shruti.verma@technovaIT.com</t>
  </si>
  <si>
    <t>Delhi, Delhi, 110001</t>
  </si>
  <si>
    <t>+91-9876972176</t>
  </si>
  <si>
    <t>EMP0106</t>
  </si>
  <si>
    <t>Vikram Verma</t>
  </si>
  <si>
    <t>vikram.verma@technovaIT.com</t>
  </si>
  <si>
    <t>+91-7890797660</t>
  </si>
  <si>
    <t>EMP0107</t>
  </si>
  <si>
    <t>Sneha Das</t>
  </si>
  <si>
    <t>sneha.das@technovaIT.com</t>
  </si>
  <si>
    <t>+91-7890213475</t>
  </si>
  <si>
    <t>EMP0108</t>
  </si>
  <si>
    <t>Ajay Menon</t>
  </si>
  <si>
    <t>ajay.menon@technovaIT.com</t>
  </si>
  <si>
    <t>+91-8765386544</t>
  </si>
  <si>
    <t>EMP0109</t>
  </si>
  <si>
    <t>Nikhil Menon</t>
  </si>
  <si>
    <t>nikhil.menon@technovaIT.com</t>
  </si>
  <si>
    <t>+91-9012132146</t>
  </si>
  <si>
    <t>EMP0110</t>
  </si>
  <si>
    <t xml:space="preserve">  Harsh </t>
  </si>
  <si>
    <t xml:space="preserve">  Harsh  Hegde</t>
  </si>
  <si>
    <t>harsh.hegde@technovaIT.com</t>
  </si>
  <si>
    <t>+91-8899189083</t>
  </si>
  <si>
    <t>EMP0111</t>
  </si>
  <si>
    <t>Karthik Iyer</t>
  </si>
  <si>
    <t>karthik.iyer@technovaIT.com</t>
  </si>
  <si>
    <t>+91-9988386436</t>
  </si>
  <si>
    <t>EMP0112</t>
  </si>
  <si>
    <t>Anand Hegde</t>
  </si>
  <si>
    <t>anand.hegde@technovaIT.com</t>
  </si>
  <si>
    <t>+91-8765514463</t>
  </si>
  <si>
    <t>EMP0113</t>
  </si>
  <si>
    <t>Sneha Sharma</t>
  </si>
  <si>
    <t>sneha.sharma@technovaIT.com</t>
  </si>
  <si>
    <t>+91-9988883301</t>
  </si>
  <si>
    <t>EMP0114</t>
  </si>
  <si>
    <t>Meena Patel</t>
  </si>
  <si>
    <t>meena.patel@technovaIT.com</t>
  </si>
  <si>
    <t>+91-9876557409</t>
  </si>
  <si>
    <t>EMP0115</t>
  </si>
  <si>
    <t>Sachin Reddy</t>
  </si>
  <si>
    <t>sachin.reddy@technovaIT.com</t>
  </si>
  <si>
    <t>+91-9876440544</t>
  </si>
  <si>
    <t>EMP0116</t>
  </si>
  <si>
    <t>Ashok Choudhury</t>
  </si>
  <si>
    <t>ashok.choudhury@technovaIT.com</t>
  </si>
  <si>
    <t>+91-7890425346</t>
  </si>
  <si>
    <t>EMP0117</t>
  </si>
  <si>
    <t>Ravi Joshi</t>
  </si>
  <si>
    <t>ravi.joshi@technovaIT.com</t>
  </si>
  <si>
    <t>HR Executive</t>
  </si>
  <si>
    <t>+91-7890776796</t>
  </si>
  <si>
    <t>EMP0118</t>
  </si>
  <si>
    <t>Ravi Nair</t>
  </si>
  <si>
    <t>ravi.nair@technovaIT.com</t>
  </si>
  <si>
    <t>+91-7890691119</t>
  </si>
  <si>
    <t>EMP0119</t>
  </si>
  <si>
    <t>Nandini Banerjee</t>
  </si>
  <si>
    <t>nandini.banerjee@technovaIT.com</t>
  </si>
  <si>
    <t>+91-7654935012</t>
  </si>
  <si>
    <t>EMP0120</t>
  </si>
  <si>
    <t>Naveen</t>
  </si>
  <si>
    <t>Naveen Kumar</t>
  </si>
  <si>
    <t>naveen.kumar@technovaIT.com</t>
  </si>
  <si>
    <t>+91-9876775981</t>
  </si>
  <si>
    <t>EMP0121</t>
  </si>
  <si>
    <t>Ashok Mishra</t>
  </si>
  <si>
    <t>ashok.mishra@technovaIT.com</t>
  </si>
  <si>
    <t>+91-8765437145</t>
  </si>
  <si>
    <t>EMP0122</t>
  </si>
  <si>
    <t>Bhavana Hegde</t>
  </si>
  <si>
    <t>bhavana.hegde@technovaIT.com</t>
  </si>
  <si>
    <t>+91-8765141043</t>
  </si>
  <si>
    <t>EMP0123</t>
  </si>
  <si>
    <t>Venkat Choudhury</t>
  </si>
  <si>
    <t>venkat.choudhury@technovaIT.com</t>
  </si>
  <si>
    <t>+91-9012726928</t>
  </si>
  <si>
    <t>EMP0124</t>
  </si>
  <si>
    <t>+91-7890788457</t>
  </si>
  <si>
    <t>EMP0125</t>
  </si>
  <si>
    <t>Divya Joshi</t>
  </si>
  <si>
    <t>divya.joshi@technovaIT.com</t>
  </si>
  <si>
    <t>Billing Specialist</t>
  </si>
  <si>
    <t>+91-9012188834</t>
  </si>
  <si>
    <t>EMP0126</t>
  </si>
  <si>
    <t>Pillai</t>
  </si>
  <si>
    <t>Ajay Pillai</t>
  </si>
  <si>
    <t>ajay.pillai@technovaIT.com</t>
  </si>
  <si>
    <t>+91-7654423869</t>
  </si>
  <si>
    <t>EMP0127</t>
  </si>
  <si>
    <t>Arjun Joshi</t>
  </si>
  <si>
    <t>arjun.joshi@technovaIT.com</t>
  </si>
  <si>
    <t>+91-7890874524</t>
  </si>
  <si>
    <t>EMP0128</t>
  </si>
  <si>
    <t>sneha</t>
  </si>
  <si>
    <t>sneha Banerjee</t>
  </si>
  <si>
    <t>sneha.banerjee@technovaIT.com</t>
  </si>
  <si>
    <t>+91-9988145814</t>
  </si>
  <si>
    <t>EMP0129</t>
  </si>
  <si>
    <t>Ananya Banerjee</t>
  </si>
  <si>
    <t>ananya.banerjee@technovaIT.com</t>
  </si>
  <si>
    <t>+91-7654947903</t>
  </si>
  <si>
    <t>EMP0130</t>
  </si>
  <si>
    <t>Pooja Menon</t>
  </si>
  <si>
    <t>pooja.menon@technovaIT.com</t>
  </si>
  <si>
    <t>7890940181</t>
  </si>
  <si>
    <t>EMP0131</t>
  </si>
  <si>
    <t>Divya Singh</t>
  </si>
  <si>
    <t>divya.singh@technovaIT.com</t>
  </si>
  <si>
    <t>Principal Engineer</t>
  </si>
  <si>
    <t>+91-9876900185</t>
  </si>
  <si>
    <t>EMP0132</t>
  </si>
  <si>
    <t>Sanjay Choudhury</t>
  </si>
  <si>
    <t>sanjay.choudhury@technovaIT.com</t>
  </si>
  <si>
    <t>+91-9988155843</t>
  </si>
  <si>
    <t>EMP0133</t>
  </si>
  <si>
    <t>Rekha Menon</t>
  </si>
  <si>
    <t>rekha.menon@technovaIT.com</t>
  </si>
  <si>
    <t>+91-8765140163</t>
  </si>
  <si>
    <t>EMP0134</t>
  </si>
  <si>
    <t xml:space="preserve">  Rohan </t>
  </si>
  <si>
    <t xml:space="preserve">  Rohan  Chakraborty</t>
  </si>
  <si>
    <t>+91-8899862560</t>
  </si>
  <si>
    <t>EMP0135</t>
  </si>
  <si>
    <t>Rekha Verma</t>
  </si>
  <si>
    <t>rekha.verma@technovaIT.com</t>
  </si>
  <si>
    <t>Mumbai, Maharashtra, 400001</t>
  </si>
  <si>
    <t>+91-9876216242</t>
  </si>
  <si>
    <t>EMP0136</t>
  </si>
  <si>
    <t>Rashmi Kulkarni</t>
  </si>
  <si>
    <t>rashmi.kulkarni@technovaIT.com</t>
  </si>
  <si>
    <t>+91-7654352249</t>
  </si>
  <si>
    <t>EMP0137</t>
  </si>
  <si>
    <t>Gayathri</t>
  </si>
  <si>
    <t>Gayathri Iyer</t>
  </si>
  <si>
    <t>gayathri.iyer@technovaIT.com</t>
  </si>
  <si>
    <t>+91-9988592972</t>
  </si>
  <si>
    <t>EMP0138</t>
  </si>
  <si>
    <t>Rajesh Pillai</t>
  </si>
  <si>
    <t>rajesh.pillai@technovaIT.com</t>
  </si>
  <si>
    <t>+91-9012758775</t>
  </si>
  <si>
    <t>EMP0139</t>
  </si>
  <si>
    <t>Anand Patil</t>
  </si>
  <si>
    <t>anand.patil@technovaIT.com</t>
  </si>
  <si>
    <t>+91-8765950916</t>
  </si>
  <si>
    <t>EMP0140</t>
  </si>
  <si>
    <t>Vikram Chakraborty</t>
  </si>
  <si>
    <t>vikram.chakraborty@technovaIT.com</t>
  </si>
  <si>
    <t>+91-8899517568</t>
  </si>
  <si>
    <t>EMP0141</t>
  </si>
  <si>
    <t>Bhavana Singh</t>
  </si>
  <si>
    <t>bhavana.singh@technovaIT.com</t>
  </si>
  <si>
    <t>+91-7890485896</t>
  </si>
  <si>
    <t>EMP0142</t>
  </si>
  <si>
    <t>Shruti Deshmukh</t>
  </si>
  <si>
    <t>shruti.deshmukh@technovaIT.com</t>
  </si>
  <si>
    <t>+91-7890186624</t>
  </si>
  <si>
    <t>EMP0143</t>
  </si>
  <si>
    <t>Anjali Verma</t>
  </si>
  <si>
    <t>anjali.verma@technovaIT.com</t>
  </si>
  <si>
    <t>+91-9988731894</t>
  </si>
  <si>
    <t>EMP0144</t>
  </si>
  <si>
    <t>Meena Chakraborty</t>
  </si>
  <si>
    <t>meena.chakraborty@technovaIT.com</t>
  </si>
  <si>
    <t>+91-9012929924</t>
  </si>
  <si>
    <t>EMP0145</t>
  </si>
  <si>
    <t>Vikram Banerjee</t>
  </si>
  <si>
    <t>vikram.banerjee@technovaIT.com</t>
  </si>
  <si>
    <t>Hyderabad, Telangana, 500032</t>
  </si>
  <si>
    <t>+91-8765170499</t>
  </si>
  <si>
    <t>EMP0146</t>
  </si>
  <si>
    <t>Anand Agarwal</t>
  </si>
  <si>
    <t>anand.agarwal@technovaIT.com</t>
  </si>
  <si>
    <t>+91-9988900152</t>
  </si>
  <si>
    <t>EMP0147</t>
  </si>
  <si>
    <t>Naveen Patel</t>
  </si>
  <si>
    <t>naveen.patel@technovaIT.com</t>
  </si>
  <si>
    <t>+91-8765623285</t>
  </si>
  <si>
    <t>EMP0148</t>
  </si>
  <si>
    <t>Shruti Kulkarni</t>
  </si>
  <si>
    <t>shruti.kulkarni@technovaIT.com</t>
  </si>
  <si>
    <t>+91-9988309902</t>
  </si>
  <si>
    <t>EMP0149</t>
  </si>
  <si>
    <t>Karthik Reddy</t>
  </si>
  <si>
    <t>karthik.reddy@technovaIT.com</t>
  </si>
  <si>
    <t>+91-8899404466</t>
  </si>
  <si>
    <t>EMP0150</t>
  </si>
  <si>
    <t>Deepak Chakraborty</t>
  </si>
  <si>
    <t>deepak.chakraborty@technovaIT.com</t>
  </si>
  <si>
    <t>+91-9876478427</t>
  </si>
  <si>
    <t>Grade</t>
  </si>
  <si>
    <t>Min_Salary</t>
  </si>
  <si>
    <t>Max_Salary</t>
  </si>
  <si>
    <t>Tax_Slab_%</t>
  </si>
  <si>
    <t>Bonus_%</t>
  </si>
  <si>
    <t>L1 — Entry</t>
  </si>
  <si>
    <t>L2 — Junior</t>
  </si>
  <si>
    <t>L3 — Mid</t>
  </si>
  <si>
    <t>L4 — Senior</t>
  </si>
  <si>
    <t>L5 — Lead</t>
  </si>
  <si>
    <t>L6 — Director</t>
  </si>
  <si>
    <t>↑ Test your =SUM(Salaries) formula in a blank cell below (Problem 1)</t>
  </si>
  <si>
    <t>#ERROR!</t>
  </si>
  <si>
    <t>Bhatia</t>
  </si>
  <si>
    <t>Suma Bhatia</t>
  </si>
  <si>
    <t>suma.bhatia@technovaIT.com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</si>
</sst>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15">
    <font>
      <sz val="11"/>
      <color theme="1"/>
      <name val="Calibri"/>
      <scheme val="minor"/>
    </font>
    <font>
      <b/>
      <sz val="16"/>
      <color rgb="FF1A5276"/>
      <name val="Arial"/>
    </font>
    <font>
      <b/>
      <sz val="12"/>
      <color rgb="FF2E75B6"/>
      <name val="Arial"/>
    </font>
    <font>
      <sz val="10"/>
      <color rgb="FF333333"/>
      <name val="Arial"/>
    </font>
    <font>
      <b/>
      <sz val="12"/>
      <color rgb="FFFFFFFF"/>
      <name val="Arial"/>
    </font>
    <font>
      <sz val="11"/>
      <name val="Calibri"/>
    </font>
    <font>
      <b/>
      <sz val="11"/>
      <color rgb="FFFFFFFF"/>
      <name val="Arial"/>
    </font>
    <font>
      <sz val="10"/>
      <color theme="1"/>
      <name val="Arial"/>
    </font>
    <font>
      <b/>
      <sz val="9"/>
      <color rgb="FF555555"/>
      <name val="Arial"/>
    </font>
    <font>
      <i/>
      <sz val="9"/>
      <color rgb="FF999999"/>
      <name val="Arial"/>
    </font>
    <font>
      <sz val="11"/>
      <color theme="1"/>
      <name val="Calibri"/>
    </font>
    <font>
      <i/>
      <sz val="10"/>
      <color rgb="FF999999"/>
      <name val="Arial"/>
    </font>
    <font>
      <b/>
      <sz val="10"/>
      <color rgb="FFFFFFFF"/>
      <name val="Arial"/>
    </font>
    <font>
      <i/>
      <sz val="8"/>
      <color rgb="FF999999"/>
      <name val="Arial"/>
    </font>
    <font>
      <i/>
      <sz val="9"/>
      <color rgb="FF888888"/>
      <name val="Arial"/>
    </font>
  </fonts>
  <fills count="7">
    <fill>
      <patternFill patternType="none"/>
    </fill>
    <fill>
      <patternFill patternType="gray125"/>
    </fill>
    <fill>
      <patternFill patternType="solid">
        <fgColor rgb="FF1A5276"/>
        <bgColor rgb="FF1A5276"/>
      </patternFill>
    </fill>
    <fill>
      <patternFill patternType="solid">
        <fgColor rgb="FF2980B9"/>
        <bgColor rgb="FF2980B9"/>
      </patternFill>
    </fill>
    <fill>
      <patternFill patternType="solid">
        <fgColor rgb="FFFFF9E6"/>
        <bgColor rgb="FFFFF9E6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6" fillId="3" borderId="4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4" borderId="8" xfId="0" applyFont="1" applyFill="1" applyBorder="1"/>
    <xf numFmtId="0" fontId="6" fillId="5" borderId="14" xfId="0" applyFont="1" applyFill="1" applyBorder="1" applyAlignment="1">
      <alignment horizontal="center" vertical="center" wrapText="1"/>
    </xf>
    <xf numFmtId="0" fontId="12" fillId="6" borderId="14" xfId="0" applyFont="1" applyFill="1" applyBorder="1"/>
    <xf numFmtId="0" fontId="7" fillId="0" borderId="14" xfId="0" applyFont="1" applyBorder="1" applyAlignment="1">
      <alignment vertical="center"/>
    </xf>
    <xf numFmtId="164" fontId="7" fillId="0" borderId="14" xfId="0" applyNumberFormat="1" applyFont="1" applyBorder="1" applyAlignment="1">
      <alignment vertical="center"/>
    </xf>
    <xf numFmtId="3" fontId="7" fillId="0" borderId="14" xfId="0" applyNumberFormat="1" applyFont="1" applyBorder="1" applyAlignment="1">
      <alignment vertical="center"/>
    </xf>
    <xf numFmtId="165" fontId="7" fillId="0" borderId="14" xfId="0" applyNumberFormat="1" applyFont="1" applyBorder="1" applyAlignment="1">
      <alignment vertical="center"/>
    </xf>
    <xf numFmtId="0" fontId="7" fillId="0" borderId="14" xfId="0" applyFont="1" applyBorder="1"/>
    <xf numFmtId="0" fontId="13" fillId="0" borderId="0" xfId="0" applyFont="1"/>
    <xf numFmtId="0" fontId="6" fillId="6" borderId="1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top" wrapText="1"/>
    </xf>
    <xf numFmtId="0" fontId="5" fillId="0" borderId="6" xfId="0" applyFont="1" applyBorder="1"/>
    <xf numFmtId="0" fontId="5" fillId="0" borderId="7" xfId="0" applyFont="1" applyBorder="1"/>
    <xf numFmtId="0" fontId="5" fillId="0" borderId="9" xfId="0" applyFont="1" applyBorder="1"/>
    <xf numFmtId="0" fontId="0" fillId="0" borderId="0" xfId="0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4" fillId="2" borderId="1" xfId="0" applyFont="1" applyFill="1" applyBorder="1"/>
    <xf numFmtId="0" fontId="5" fillId="0" borderId="2" xfId="0" applyFont="1" applyBorder="1"/>
    <xf numFmtId="0" fontId="5" fillId="0" borderId="3" xfId="0" applyFont="1" applyBorder="1"/>
    <xf numFmtId="0" fontId="1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14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000"/>
  <sheetViews>
    <sheetView showGridLines="0" topLeftCell="A21" workbookViewId="0">
      <selection activeCell="C16" sqref="C16:I24"/>
    </sheetView>
  </sheetViews>
  <sheetFormatPr defaultColWidth="14.453125" defaultRowHeight="15" customHeight="1"/>
  <cols>
    <col min="1" max="1" width="3" customWidth="1"/>
    <col min="2" max="2" width="5" customWidth="1"/>
    <col min="3" max="9" width="10" customWidth="1"/>
    <col min="10" max="10" width="3" customWidth="1"/>
    <col min="11" max="11" width="22" customWidth="1"/>
    <col min="12" max="12" width="6" customWidth="1"/>
    <col min="13" max="13" width="18" customWidth="1"/>
    <col min="14" max="26" width="8.7265625" customWidth="1"/>
  </cols>
  <sheetData>
    <row r="2" spans="2:13" ht="20">
      <c r="B2" s="27" t="s">
        <v>0</v>
      </c>
      <c r="C2" s="18"/>
      <c r="D2" s="18"/>
      <c r="E2" s="18"/>
      <c r="F2" s="18"/>
      <c r="G2" s="18"/>
      <c r="H2" s="18"/>
      <c r="I2" s="18"/>
      <c r="K2" s="28" t="s">
        <v>1</v>
      </c>
      <c r="L2" s="18"/>
      <c r="M2" s="18"/>
    </row>
    <row r="4" spans="2:13" ht="14.5">
      <c r="B4" s="29" t="s">
        <v>2</v>
      </c>
      <c r="C4" s="18"/>
      <c r="D4" s="18"/>
      <c r="E4" s="18"/>
      <c r="F4" s="18"/>
      <c r="G4" s="18"/>
      <c r="H4" s="18"/>
      <c r="I4" s="18"/>
    </row>
    <row r="5" spans="2:13" ht="25.5" customHeight="1">
      <c r="B5" s="18"/>
      <c r="C5" s="18"/>
      <c r="D5" s="18"/>
      <c r="E5" s="18"/>
      <c r="F5" s="18"/>
      <c r="G5" s="18"/>
      <c r="H5" s="18"/>
      <c r="I5" s="18"/>
    </row>
    <row r="7" spans="2:13" ht="25.5" customHeight="1">
      <c r="B7" s="23" t="s">
        <v>3</v>
      </c>
      <c r="C7" s="24"/>
      <c r="D7" s="24"/>
      <c r="E7" s="24"/>
      <c r="F7" s="24"/>
      <c r="G7" s="24"/>
      <c r="H7" s="24"/>
      <c r="I7" s="25"/>
      <c r="K7" s="23" t="s">
        <v>4</v>
      </c>
      <c r="L7" s="24"/>
      <c r="M7" s="25"/>
    </row>
    <row r="8" spans="2:13" ht="21.75" customHeight="1">
      <c r="B8" s="1">
        <v>1</v>
      </c>
      <c r="C8" s="14" t="s">
        <v>5</v>
      </c>
      <c r="D8" s="15"/>
      <c r="E8" s="15"/>
      <c r="F8" s="15"/>
      <c r="G8" s="15"/>
      <c r="H8" s="15"/>
      <c r="I8" s="16"/>
      <c r="K8" s="2" t="s">
        <v>877</v>
      </c>
      <c r="L8" s="3" t="s">
        <v>6</v>
      </c>
      <c r="M8" s="4"/>
    </row>
    <row r="9" spans="2:13" ht="21.75" customHeight="1">
      <c r="C9" s="17"/>
      <c r="D9" s="18"/>
      <c r="E9" s="18"/>
      <c r="F9" s="18"/>
      <c r="G9" s="18"/>
      <c r="H9" s="18"/>
      <c r="I9" s="19"/>
      <c r="K9" s="2" t="s">
        <v>7</v>
      </c>
      <c r="M9" s="4"/>
    </row>
    <row r="10" spans="2:13" ht="21.75" customHeight="1">
      <c r="C10" s="17"/>
      <c r="D10" s="18"/>
      <c r="E10" s="18"/>
      <c r="F10" s="18"/>
      <c r="G10" s="18"/>
      <c r="H10" s="18"/>
      <c r="I10" s="19"/>
      <c r="K10" s="2" t="s">
        <v>8</v>
      </c>
      <c r="L10" s="3" t="s">
        <v>6</v>
      </c>
      <c r="M10" s="4"/>
    </row>
    <row r="11" spans="2:13" ht="14.5">
      <c r="C11" s="17"/>
      <c r="D11" s="18"/>
      <c r="E11" s="18"/>
      <c r="F11" s="18"/>
      <c r="G11" s="18"/>
      <c r="H11" s="18"/>
      <c r="I11" s="19"/>
    </row>
    <row r="12" spans="2:13" ht="14.5">
      <c r="C12" s="17"/>
      <c r="D12" s="18"/>
      <c r="E12" s="18"/>
      <c r="F12" s="18"/>
      <c r="G12" s="18"/>
      <c r="H12" s="18"/>
      <c r="I12" s="19"/>
    </row>
    <row r="13" spans="2:13" ht="14.5">
      <c r="C13" s="17"/>
      <c r="D13" s="18"/>
      <c r="E13" s="18"/>
      <c r="F13" s="18"/>
      <c r="G13" s="18"/>
      <c r="H13" s="18"/>
      <c r="I13" s="19"/>
    </row>
    <row r="14" spans="2:13" ht="14.5">
      <c r="C14" s="20"/>
      <c r="D14" s="21"/>
      <c r="E14" s="21"/>
      <c r="F14" s="21"/>
      <c r="G14" s="21"/>
      <c r="H14" s="21"/>
      <c r="I14" s="22"/>
    </row>
    <row r="16" spans="2:13" ht="21.75" customHeight="1">
      <c r="B16" s="1">
        <v>2</v>
      </c>
      <c r="C16" s="14" t="s">
        <v>9</v>
      </c>
      <c r="D16" s="15"/>
      <c r="E16" s="15"/>
      <c r="F16" s="15"/>
      <c r="G16" s="15"/>
      <c r="H16" s="15"/>
      <c r="I16" s="16"/>
      <c r="K16" s="2" t="s">
        <v>10</v>
      </c>
      <c r="L16" s="3" t="s">
        <v>6</v>
      </c>
      <c r="M16" s="4"/>
    </row>
    <row r="17" spans="2:13" ht="21.75" customHeight="1">
      <c r="C17" s="17"/>
      <c r="D17" s="18"/>
      <c r="E17" s="18"/>
      <c r="F17" s="18"/>
      <c r="G17" s="18"/>
      <c r="H17" s="18"/>
      <c r="I17" s="19"/>
      <c r="K17" s="2" t="s">
        <v>11</v>
      </c>
      <c r="L17" s="3" t="s">
        <v>6</v>
      </c>
      <c r="M17" s="4"/>
    </row>
    <row r="18" spans="2:13" ht="21.75" customHeight="1">
      <c r="C18" s="17"/>
      <c r="D18" s="18"/>
      <c r="E18" s="18"/>
      <c r="F18" s="18"/>
      <c r="G18" s="18"/>
      <c r="H18" s="18"/>
      <c r="I18" s="19"/>
      <c r="K18" s="2" t="s">
        <v>12</v>
      </c>
      <c r="L18" s="3" t="s">
        <v>13</v>
      </c>
      <c r="M18" s="4"/>
    </row>
    <row r="19" spans="2:13" ht="21.75" customHeight="1">
      <c r="C19" s="17"/>
      <c r="D19" s="18"/>
      <c r="E19" s="18"/>
      <c r="F19" s="18"/>
      <c r="G19" s="18"/>
      <c r="H19" s="18"/>
      <c r="I19" s="19"/>
      <c r="K19" s="2" t="s">
        <v>14</v>
      </c>
      <c r="L19" s="3" t="s">
        <v>6</v>
      </c>
      <c r="M19" s="4"/>
    </row>
    <row r="20" spans="2:13" ht="21.75" customHeight="1">
      <c r="C20" s="17"/>
      <c r="D20" s="18"/>
      <c r="E20" s="18"/>
      <c r="F20" s="18"/>
      <c r="G20" s="18"/>
      <c r="H20" s="18"/>
      <c r="I20" s="19"/>
      <c r="K20" s="2" t="s">
        <v>12</v>
      </c>
      <c r="L20" s="3" t="s">
        <v>15</v>
      </c>
      <c r="M20" s="4"/>
    </row>
    <row r="21" spans="2:13" ht="21.75" customHeight="1">
      <c r="C21" s="17"/>
      <c r="D21" s="18"/>
      <c r="E21" s="18"/>
      <c r="F21" s="18"/>
      <c r="G21" s="18"/>
      <c r="H21" s="18"/>
      <c r="I21" s="19"/>
      <c r="K21" s="2" t="s">
        <v>16</v>
      </c>
      <c r="L21" s="3" t="s">
        <v>6</v>
      </c>
      <c r="M21" s="4"/>
    </row>
    <row r="22" spans="2:13" ht="21.75" customHeight="1">
      <c r="C22" s="17"/>
      <c r="D22" s="18"/>
      <c r="E22" s="18"/>
      <c r="F22" s="18"/>
      <c r="G22" s="18"/>
      <c r="H22" s="18"/>
      <c r="I22" s="19"/>
      <c r="K22" s="2" t="s">
        <v>12</v>
      </c>
      <c r="L22" s="3" t="s">
        <v>17</v>
      </c>
      <c r="M22" s="4"/>
    </row>
    <row r="23" spans="2:13" ht="21.75" customHeight="1">
      <c r="C23" s="17"/>
      <c r="D23" s="18"/>
      <c r="E23" s="18"/>
      <c r="F23" s="18"/>
      <c r="G23" s="18"/>
      <c r="H23" s="18"/>
      <c r="I23" s="19"/>
      <c r="K23" s="2" t="s">
        <v>18</v>
      </c>
      <c r="L23" s="3" t="s">
        <v>6</v>
      </c>
      <c r="M23" s="4"/>
    </row>
    <row r="24" spans="2:13" ht="15.75" customHeight="1">
      <c r="C24" s="20"/>
      <c r="D24" s="21"/>
      <c r="E24" s="21"/>
      <c r="F24" s="21"/>
      <c r="G24" s="21"/>
      <c r="H24" s="21"/>
      <c r="I24" s="22"/>
    </row>
    <row r="25" spans="2:13" ht="15.75" customHeight="1"/>
    <row r="26" spans="2:13" ht="25.5" customHeight="1">
      <c r="B26" s="23" t="s">
        <v>19</v>
      </c>
      <c r="C26" s="24"/>
      <c r="D26" s="24"/>
      <c r="E26" s="24"/>
      <c r="F26" s="24"/>
      <c r="G26" s="24"/>
      <c r="H26" s="24"/>
      <c r="I26" s="25"/>
      <c r="K26" s="23" t="s">
        <v>4</v>
      </c>
      <c r="L26" s="24"/>
      <c r="M26" s="25"/>
    </row>
    <row r="27" spans="2:13" ht="21.75" customHeight="1">
      <c r="B27" s="1">
        <v>3</v>
      </c>
      <c r="C27" s="14" t="s">
        <v>20</v>
      </c>
      <c r="D27" s="15"/>
      <c r="E27" s="15"/>
      <c r="F27" s="15"/>
      <c r="G27" s="15"/>
      <c r="H27" s="15"/>
      <c r="I27" s="16"/>
      <c r="K27" s="2" t="s">
        <v>21</v>
      </c>
      <c r="M27" s="4"/>
    </row>
    <row r="28" spans="2:13" ht="21.75" customHeight="1">
      <c r="C28" s="17"/>
      <c r="D28" s="18"/>
      <c r="E28" s="18"/>
      <c r="F28" s="18"/>
      <c r="G28" s="18"/>
      <c r="H28" s="18"/>
      <c r="I28" s="19"/>
      <c r="K28" s="2" t="s">
        <v>22</v>
      </c>
      <c r="M28" s="4"/>
    </row>
    <row r="29" spans="2:13" ht="21.75" customHeight="1">
      <c r="C29" s="17"/>
      <c r="D29" s="18"/>
      <c r="E29" s="18"/>
      <c r="F29" s="18"/>
      <c r="G29" s="18"/>
      <c r="H29" s="18"/>
      <c r="I29" s="19"/>
      <c r="K29" s="2" t="s">
        <v>23</v>
      </c>
      <c r="M29" s="4"/>
    </row>
    <row r="30" spans="2:13" ht="21.75" customHeight="1">
      <c r="C30" s="17"/>
      <c r="D30" s="18"/>
      <c r="E30" s="18"/>
      <c r="F30" s="18"/>
      <c r="G30" s="18"/>
      <c r="H30" s="18"/>
      <c r="I30" s="19"/>
      <c r="K30" s="2" t="s">
        <v>24</v>
      </c>
      <c r="M30" s="4"/>
    </row>
    <row r="31" spans="2:13" ht="21.75" customHeight="1">
      <c r="C31" s="17"/>
      <c r="D31" s="18"/>
      <c r="E31" s="18"/>
      <c r="F31" s="18"/>
      <c r="G31" s="18"/>
      <c r="H31" s="18"/>
      <c r="I31" s="19"/>
      <c r="K31" s="2" t="s">
        <v>25</v>
      </c>
      <c r="M31" s="4"/>
    </row>
    <row r="32" spans="2:13" ht="21.75" customHeight="1">
      <c r="C32" s="17"/>
      <c r="D32" s="18"/>
      <c r="E32" s="18"/>
      <c r="F32" s="18"/>
      <c r="G32" s="18"/>
      <c r="H32" s="18"/>
      <c r="I32" s="19"/>
      <c r="K32" s="2" t="s">
        <v>26</v>
      </c>
      <c r="L32" s="3" t="s">
        <v>6</v>
      </c>
      <c r="M32" s="4"/>
    </row>
    <row r="33" spans="2:13" ht="21.75" customHeight="1">
      <c r="C33" s="17"/>
      <c r="D33" s="18"/>
      <c r="E33" s="18"/>
      <c r="F33" s="18"/>
      <c r="G33" s="18"/>
      <c r="H33" s="18"/>
      <c r="I33" s="19"/>
      <c r="K33" s="2" t="s">
        <v>27</v>
      </c>
      <c r="M33" s="4"/>
    </row>
    <row r="34" spans="2:13" ht="15.75" customHeight="1">
      <c r="C34" s="20"/>
      <c r="D34" s="21"/>
      <c r="E34" s="21"/>
      <c r="F34" s="21"/>
      <c r="G34" s="21"/>
      <c r="H34" s="21"/>
      <c r="I34" s="22"/>
    </row>
    <row r="35" spans="2:13" ht="15.75" customHeight="1"/>
    <row r="36" spans="2:13" ht="25.5" customHeight="1">
      <c r="B36" s="23" t="s">
        <v>28</v>
      </c>
      <c r="C36" s="24"/>
      <c r="D36" s="24"/>
      <c r="E36" s="24"/>
      <c r="F36" s="24"/>
      <c r="G36" s="24"/>
      <c r="H36" s="24"/>
      <c r="I36" s="25"/>
      <c r="K36" s="23" t="s">
        <v>4</v>
      </c>
      <c r="L36" s="24"/>
      <c r="M36" s="25"/>
    </row>
    <row r="37" spans="2:13" ht="21.75" customHeight="1">
      <c r="B37" s="1">
        <v>4</v>
      </c>
      <c r="C37" s="14" t="s">
        <v>29</v>
      </c>
      <c r="D37" s="15"/>
      <c r="E37" s="15"/>
      <c r="F37" s="15"/>
      <c r="G37" s="15"/>
      <c r="H37" s="15"/>
      <c r="I37" s="16"/>
      <c r="K37" s="2" t="s">
        <v>30</v>
      </c>
      <c r="L37" s="3" t="s">
        <v>6</v>
      </c>
      <c r="M37" s="4"/>
    </row>
    <row r="38" spans="2:13" ht="21.75" customHeight="1">
      <c r="C38" s="17"/>
      <c r="D38" s="18"/>
      <c r="E38" s="18"/>
      <c r="F38" s="18"/>
      <c r="G38" s="18"/>
      <c r="H38" s="18"/>
      <c r="I38" s="19"/>
      <c r="K38" s="2" t="s">
        <v>12</v>
      </c>
      <c r="L38" s="3" t="s">
        <v>31</v>
      </c>
      <c r="M38" s="4"/>
    </row>
    <row r="39" spans="2:13" ht="21.75" customHeight="1">
      <c r="C39" s="17"/>
      <c r="D39" s="18"/>
      <c r="E39" s="18"/>
      <c r="F39" s="18"/>
      <c r="G39" s="18"/>
      <c r="H39" s="18"/>
      <c r="I39" s="19"/>
      <c r="K39" s="2" t="s">
        <v>32</v>
      </c>
      <c r="L39" s="3" t="s">
        <v>6</v>
      </c>
      <c r="M39" s="4"/>
    </row>
    <row r="40" spans="2:13" ht="21.75" customHeight="1">
      <c r="C40" s="17"/>
      <c r="D40" s="18"/>
      <c r="E40" s="18"/>
      <c r="F40" s="18"/>
      <c r="G40" s="18"/>
      <c r="H40" s="18"/>
      <c r="I40" s="19"/>
      <c r="K40" s="2" t="s">
        <v>33</v>
      </c>
      <c r="L40" s="3" t="s">
        <v>6</v>
      </c>
      <c r="M40" s="4"/>
    </row>
    <row r="41" spans="2:13" ht="21.75" customHeight="1">
      <c r="C41" s="17"/>
      <c r="D41" s="18"/>
      <c r="E41" s="18"/>
      <c r="F41" s="18"/>
      <c r="G41" s="18"/>
      <c r="H41" s="18"/>
      <c r="I41" s="19"/>
      <c r="K41" s="2" t="s">
        <v>34</v>
      </c>
      <c r="M41" s="4"/>
    </row>
    <row r="42" spans="2:13" ht="21.75" customHeight="1">
      <c r="C42" s="17"/>
      <c r="D42" s="18"/>
      <c r="E42" s="18"/>
      <c r="F42" s="18"/>
      <c r="G42" s="18"/>
      <c r="H42" s="18"/>
      <c r="I42" s="19"/>
      <c r="K42" s="2" t="s">
        <v>35</v>
      </c>
      <c r="M42" s="4"/>
    </row>
    <row r="43" spans="2:13" ht="21.75" customHeight="1">
      <c r="C43" s="17"/>
      <c r="D43" s="18"/>
      <c r="E43" s="18"/>
      <c r="F43" s="18"/>
      <c r="G43" s="18"/>
      <c r="H43" s="18"/>
      <c r="I43" s="19"/>
      <c r="K43" s="2" t="s">
        <v>36</v>
      </c>
      <c r="M43" s="4"/>
    </row>
    <row r="44" spans="2:13" ht="21.75" customHeight="1">
      <c r="C44" s="17"/>
      <c r="D44" s="18"/>
      <c r="E44" s="18"/>
      <c r="F44" s="18"/>
      <c r="G44" s="18"/>
      <c r="H44" s="18"/>
      <c r="I44" s="19"/>
      <c r="K44" s="2" t="s">
        <v>37</v>
      </c>
      <c r="M44" s="4"/>
    </row>
    <row r="45" spans="2:13" ht="15.75" customHeight="1">
      <c r="C45" s="20"/>
      <c r="D45" s="21"/>
      <c r="E45" s="21"/>
      <c r="F45" s="21"/>
      <c r="G45" s="21"/>
      <c r="H45" s="21"/>
      <c r="I45" s="22"/>
    </row>
    <row r="46" spans="2:13" ht="15.75" customHeight="1"/>
    <row r="47" spans="2:13" ht="25.5" customHeight="1">
      <c r="B47" s="23" t="s">
        <v>38</v>
      </c>
      <c r="C47" s="24"/>
      <c r="D47" s="24"/>
      <c r="E47" s="24"/>
      <c r="F47" s="24"/>
      <c r="G47" s="24"/>
      <c r="H47" s="24"/>
      <c r="I47" s="25"/>
      <c r="K47" s="23" t="s">
        <v>4</v>
      </c>
      <c r="L47" s="24"/>
      <c r="M47" s="25"/>
    </row>
    <row r="48" spans="2:13" ht="21.75" customHeight="1">
      <c r="B48" s="1">
        <v>5</v>
      </c>
      <c r="C48" s="14" t="s">
        <v>39</v>
      </c>
      <c r="D48" s="15"/>
      <c r="E48" s="15"/>
      <c r="F48" s="15"/>
      <c r="G48" s="15"/>
      <c r="H48" s="15"/>
      <c r="I48" s="16"/>
      <c r="K48" s="2" t="s">
        <v>40</v>
      </c>
      <c r="L48" s="3" t="s">
        <v>6</v>
      </c>
      <c r="M48" s="4"/>
    </row>
    <row r="49" spans="2:13" ht="21.75" customHeight="1">
      <c r="C49" s="17"/>
      <c r="D49" s="18"/>
      <c r="E49" s="18"/>
      <c r="F49" s="18"/>
      <c r="G49" s="18"/>
      <c r="H49" s="18"/>
      <c r="I49" s="19"/>
      <c r="K49" s="2" t="s">
        <v>41</v>
      </c>
      <c r="L49" s="3" t="s">
        <v>6</v>
      </c>
      <c r="M49" s="4"/>
    </row>
    <row r="50" spans="2:13" ht="21.75" customHeight="1">
      <c r="C50" s="17"/>
      <c r="D50" s="18"/>
      <c r="E50" s="18"/>
      <c r="F50" s="18"/>
      <c r="G50" s="18"/>
      <c r="H50" s="18"/>
      <c r="I50" s="19"/>
      <c r="K50" s="2" t="s">
        <v>42</v>
      </c>
      <c r="L50" s="3" t="s">
        <v>6</v>
      </c>
      <c r="M50" s="4"/>
    </row>
    <row r="51" spans="2:13" ht="21.75" customHeight="1">
      <c r="C51" s="17"/>
      <c r="D51" s="18"/>
      <c r="E51" s="18"/>
      <c r="F51" s="18"/>
      <c r="G51" s="18"/>
      <c r="H51" s="18"/>
      <c r="I51" s="19"/>
      <c r="K51" s="2" t="s">
        <v>43</v>
      </c>
      <c r="L51" s="3" t="s">
        <v>44</v>
      </c>
      <c r="M51" s="4"/>
    </row>
    <row r="52" spans="2:13" ht="21.75" customHeight="1">
      <c r="C52" s="17"/>
      <c r="D52" s="18"/>
      <c r="E52" s="18"/>
      <c r="F52" s="18"/>
      <c r="G52" s="18"/>
      <c r="H52" s="18"/>
      <c r="I52" s="19"/>
      <c r="K52" s="2" t="s">
        <v>45</v>
      </c>
      <c r="L52" s="3" t="s">
        <v>6</v>
      </c>
      <c r="M52" s="4"/>
    </row>
    <row r="53" spans="2:13" ht="21.75" customHeight="1">
      <c r="C53" s="17"/>
      <c r="D53" s="18"/>
      <c r="E53" s="18"/>
      <c r="F53" s="18"/>
      <c r="G53" s="18"/>
      <c r="H53" s="18"/>
      <c r="I53" s="19"/>
      <c r="K53" s="2" t="s">
        <v>46</v>
      </c>
      <c r="M53" s="4"/>
    </row>
    <row r="54" spans="2:13" ht="21.75" customHeight="1">
      <c r="C54" s="17"/>
      <c r="D54" s="18"/>
      <c r="E54" s="18"/>
      <c r="F54" s="18"/>
      <c r="G54" s="18"/>
      <c r="H54" s="18"/>
      <c r="I54" s="19"/>
      <c r="K54" s="2" t="s">
        <v>47</v>
      </c>
      <c r="M54" s="4"/>
    </row>
    <row r="55" spans="2:13" ht="21.75" customHeight="1">
      <c r="C55" s="17"/>
      <c r="D55" s="18"/>
      <c r="E55" s="18"/>
      <c r="F55" s="18"/>
      <c r="G55" s="18"/>
      <c r="H55" s="18"/>
      <c r="I55" s="19"/>
      <c r="K55" s="2" t="s">
        <v>48</v>
      </c>
      <c r="M55" s="4"/>
    </row>
    <row r="56" spans="2:13" ht="21.75" customHeight="1">
      <c r="C56" s="17"/>
      <c r="D56" s="18"/>
      <c r="E56" s="18"/>
      <c r="F56" s="18"/>
      <c r="G56" s="18"/>
      <c r="H56" s="18"/>
      <c r="I56" s="19"/>
      <c r="K56" s="2" t="s">
        <v>49</v>
      </c>
      <c r="M56" s="4"/>
    </row>
    <row r="57" spans="2:13" ht="21.75" customHeight="1">
      <c r="C57" s="20"/>
      <c r="D57" s="21"/>
      <c r="E57" s="21"/>
      <c r="F57" s="21"/>
      <c r="G57" s="21"/>
      <c r="H57" s="21"/>
      <c r="I57" s="22"/>
      <c r="K57" s="2" t="s">
        <v>50</v>
      </c>
      <c r="M57" s="4"/>
    </row>
    <row r="58" spans="2:13" ht="15.75" customHeight="1">
      <c r="K58" s="2" t="s">
        <v>51</v>
      </c>
      <c r="M58" s="4"/>
    </row>
    <row r="59" spans="2:13" ht="15.75" customHeight="1"/>
    <row r="60" spans="2:13" ht="15.75" customHeight="1"/>
    <row r="61" spans="2:13" ht="15.75" customHeight="1">
      <c r="B61" s="26" t="s">
        <v>52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2:13" ht="15.75" customHeight="1"/>
    <row r="63" spans="2:13" ht="15.75" customHeight="1"/>
    <row r="64" spans="2:1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2:I2"/>
    <mergeCell ref="K2:M2"/>
    <mergeCell ref="B4:I5"/>
    <mergeCell ref="B7:I7"/>
    <mergeCell ref="K7:M7"/>
    <mergeCell ref="C8:I14"/>
    <mergeCell ref="C16:I24"/>
    <mergeCell ref="B47:I47"/>
    <mergeCell ref="C48:I57"/>
    <mergeCell ref="B61:M61"/>
    <mergeCell ref="B26:I26"/>
    <mergeCell ref="K26:M26"/>
    <mergeCell ref="C27:I34"/>
    <mergeCell ref="B36:I36"/>
    <mergeCell ref="K36:M36"/>
    <mergeCell ref="C37:I45"/>
    <mergeCell ref="K47:M47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tabSelected="1" zoomScaleNormal="100" workbookViewId="0">
      <selection activeCell="T5" sqref="T5"/>
    </sheetView>
  </sheetViews>
  <sheetFormatPr defaultColWidth="14.453125" defaultRowHeight="15" customHeight="1"/>
  <cols>
    <col min="1" max="1" width="10" customWidth="1"/>
    <col min="2" max="3" width="14" customWidth="1"/>
    <col min="4" max="4" width="22" customWidth="1"/>
    <col min="5" max="5" width="30" customWidth="1"/>
    <col min="6" max="6" width="16" customWidth="1"/>
    <col min="7" max="7" width="28" customWidth="1"/>
    <col min="8" max="9" width="14" customWidth="1"/>
    <col min="10" max="10" width="12" customWidth="1"/>
    <col min="11" max="11" width="22" customWidth="1"/>
    <col min="12" max="12" width="16" customWidth="1"/>
    <col min="13" max="13" width="10" customWidth="1"/>
    <col min="14" max="15" width="12" customWidth="1"/>
    <col min="16" max="16" width="18" customWidth="1"/>
    <col min="17" max="17" width="10" customWidth="1"/>
    <col min="18" max="18" width="8" customWidth="1"/>
    <col min="19" max="19" width="20" customWidth="1"/>
    <col min="20" max="21" width="12" customWidth="1"/>
    <col min="22" max="22" width="18" customWidth="1"/>
    <col min="23" max="26" width="8.7265625" customWidth="1"/>
  </cols>
  <sheetData>
    <row r="1" spans="1:22" ht="28">
      <c r="A1" s="5" t="s">
        <v>53</v>
      </c>
      <c r="B1" s="5" t="s">
        <v>54</v>
      </c>
      <c r="C1" s="5" t="s">
        <v>55</v>
      </c>
      <c r="D1" s="5" t="s">
        <v>56</v>
      </c>
      <c r="E1" s="5" t="s">
        <v>57</v>
      </c>
      <c r="F1" s="5" t="s">
        <v>58</v>
      </c>
      <c r="G1" s="5" t="s">
        <v>59</v>
      </c>
      <c r="H1" s="5" t="s">
        <v>60</v>
      </c>
      <c r="I1" s="5" t="s">
        <v>61</v>
      </c>
      <c r="J1" s="5" t="s">
        <v>62</v>
      </c>
      <c r="K1" s="5" t="s">
        <v>63</v>
      </c>
      <c r="L1" s="5" t="s">
        <v>64</v>
      </c>
      <c r="M1" s="5" t="s">
        <v>65</v>
      </c>
      <c r="N1" s="5" t="s">
        <v>66</v>
      </c>
      <c r="O1" s="5" t="s">
        <v>67</v>
      </c>
      <c r="P1" s="5" t="s">
        <v>68</v>
      </c>
      <c r="Q1" s="5" t="s">
        <v>69</v>
      </c>
      <c r="R1" s="5" t="s">
        <v>70</v>
      </c>
      <c r="S1" s="5" t="s">
        <v>71</v>
      </c>
      <c r="T1" s="6" t="s">
        <v>72</v>
      </c>
      <c r="V1" s="6" t="s">
        <v>73</v>
      </c>
    </row>
    <row r="2" spans="1:22" ht="14.5">
      <c r="A2" s="7" t="s">
        <v>74</v>
      </c>
      <c r="B2" s="7" t="s">
        <v>75</v>
      </c>
      <c r="C2" s="7" t="s">
        <v>76</v>
      </c>
      <c r="D2" s="7" t="s">
        <v>77</v>
      </c>
      <c r="E2" s="7" t="s">
        <v>78</v>
      </c>
      <c r="F2" s="7" t="s">
        <v>79</v>
      </c>
      <c r="G2" s="7" t="s">
        <v>80</v>
      </c>
      <c r="H2" s="8">
        <v>42919</v>
      </c>
      <c r="I2" s="9">
        <v>1086579</v>
      </c>
      <c r="J2" s="10">
        <v>4.2</v>
      </c>
      <c r="K2" s="7" t="s">
        <v>81</v>
      </c>
      <c r="L2" s="7" t="s">
        <v>82</v>
      </c>
      <c r="M2" s="7" t="s">
        <v>83</v>
      </c>
      <c r="N2" s="7" t="s">
        <v>84</v>
      </c>
      <c r="O2" s="7" t="s">
        <v>85</v>
      </c>
      <c r="P2" s="7" t="s">
        <v>86</v>
      </c>
      <c r="Q2" s="7">
        <v>7.9</v>
      </c>
      <c r="R2" s="7" t="s">
        <v>87</v>
      </c>
      <c r="S2" s="7" t="s">
        <v>88</v>
      </c>
      <c r="V2" s="11" t="s">
        <v>89</v>
      </c>
    </row>
    <row r="3" spans="1:22" ht="14.5">
      <c r="A3" s="7" t="s">
        <v>90</v>
      </c>
      <c r="B3" s="7" t="s">
        <v>91</v>
      </c>
      <c r="C3" s="7" t="s">
        <v>92</v>
      </c>
      <c r="D3" s="7" t="s">
        <v>93</v>
      </c>
      <c r="E3" s="7" t="s">
        <v>94</v>
      </c>
      <c r="F3" s="7" t="s">
        <v>95</v>
      </c>
      <c r="G3" s="7" t="s">
        <v>96</v>
      </c>
      <c r="H3" s="8">
        <v>42113</v>
      </c>
      <c r="I3" s="9">
        <v>847127</v>
      </c>
      <c r="J3" s="10">
        <v>2.6</v>
      </c>
      <c r="K3" s="7" t="s">
        <v>97</v>
      </c>
      <c r="L3" s="7" t="s">
        <v>98</v>
      </c>
      <c r="M3" s="7" t="s">
        <v>99</v>
      </c>
      <c r="N3" s="7" t="s">
        <v>84</v>
      </c>
      <c r="O3" s="7" t="s">
        <v>100</v>
      </c>
      <c r="P3" s="7" t="s">
        <v>101</v>
      </c>
      <c r="Q3" s="7">
        <v>10.1</v>
      </c>
      <c r="R3" s="7" t="s">
        <v>87</v>
      </c>
      <c r="S3" s="7" t="s">
        <v>102</v>
      </c>
      <c r="T3" s="12" t="s">
        <v>103</v>
      </c>
      <c r="V3" s="11" t="s">
        <v>104</v>
      </c>
    </row>
    <row r="4" spans="1:22" ht="14.5">
      <c r="A4" s="7" t="s">
        <v>105</v>
      </c>
      <c r="B4" s="7" t="s">
        <v>106</v>
      </c>
      <c r="C4" s="7" t="s">
        <v>107</v>
      </c>
      <c r="D4" s="7" t="s">
        <v>108</v>
      </c>
      <c r="E4" s="7" t="s">
        <v>109</v>
      </c>
      <c r="F4" s="7" t="s">
        <v>110</v>
      </c>
      <c r="G4" s="7" t="s">
        <v>111</v>
      </c>
      <c r="H4" s="8">
        <v>43143</v>
      </c>
      <c r="I4" s="9">
        <v>490758</v>
      </c>
      <c r="J4" s="10">
        <v>2.6</v>
      </c>
      <c r="K4" s="7" t="s">
        <v>112</v>
      </c>
      <c r="L4" s="7" t="s">
        <v>113</v>
      </c>
      <c r="M4" s="7" t="s">
        <v>114</v>
      </c>
      <c r="N4" s="7" t="s">
        <v>84</v>
      </c>
      <c r="O4" s="7" t="s">
        <v>100</v>
      </c>
      <c r="P4" s="7" t="s">
        <v>115</v>
      </c>
      <c r="Q4" s="7">
        <v>7.3</v>
      </c>
      <c r="R4" s="7" t="s">
        <v>87</v>
      </c>
      <c r="S4" s="7" t="s">
        <v>116</v>
      </c>
      <c r="T4">
        <f>COUNTA(F2:F154)</f>
        <v>153</v>
      </c>
      <c r="V4" s="11" t="s">
        <v>117</v>
      </c>
    </row>
    <row r="5" spans="1:22" ht="14.5">
      <c r="A5" s="7" t="s">
        <v>118</v>
      </c>
      <c r="B5" s="7" t="s">
        <v>119</v>
      </c>
      <c r="C5" s="7" t="s">
        <v>120</v>
      </c>
      <c r="D5" s="7" t="s">
        <v>121</v>
      </c>
      <c r="E5" s="7" t="s">
        <v>122</v>
      </c>
      <c r="F5" s="7" t="s">
        <v>79</v>
      </c>
      <c r="G5" s="7" t="s">
        <v>123</v>
      </c>
      <c r="H5" s="8">
        <v>44993</v>
      </c>
      <c r="I5" s="9">
        <v>570435</v>
      </c>
      <c r="J5" s="10">
        <v>3.6</v>
      </c>
      <c r="K5" s="7" t="s">
        <v>124</v>
      </c>
      <c r="L5" s="7" t="s">
        <v>125</v>
      </c>
      <c r="M5" s="7" t="s">
        <v>126</v>
      </c>
      <c r="N5" s="7" t="s">
        <v>84</v>
      </c>
      <c r="O5" s="7" t="s">
        <v>100</v>
      </c>
      <c r="P5" s="7" t="s">
        <v>127</v>
      </c>
      <c r="Q5" s="7">
        <v>2.2000000000000002</v>
      </c>
      <c r="R5" s="7" t="s">
        <v>87</v>
      </c>
      <c r="S5" s="7" t="s">
        <v>128</v>
      </c>
      <c r="V5" s="11" t="s">
        <v>129</v>
      </c>
    </row>
    <row r="6" spans="1:22" ht="14.5">
      <c r="A6" s="7" t="s">
        <v>130</v>
      </c>
      <c r="B6" s="7" t="s">
        <v>131</v>
      </c>
      <c r="C6" s="7" t="s">
        <v>132</v>
      </c>
      <c r="D6" s="7" t="s">
        <v>133</v>
      </c>
      <c r="E6" s="7" t="s">
        <v>134</v>
      </c>
      <c r="F6" s="7" t="s">
        <v>135</v>
      </c>
      <c r="G6" s="7" t="s">
        <v>136</v>
      </c>
      <c r="H6" s="8">
        <v>42192</v>
      </c>
      <c r="I6" s="9">
        <v>559742</v>
      </c>
      <c r="J6" s="10">
        <v>4.3</v>
      </c>
      <c r="K6" s="7" t="s">
        <v>137</v>
      </c>
      <c r="L6" s="7"/>
      <c r="M6" s="7"/>
      <c r="N6" s="7" t="s">
        <v>84</v>
      </c>
      <c r="O6" s="7" t="s">
        <v>100</v>
      </c>
      <c r="P6" s="7" t="s">
        <v>115</v>
      </c>
      <c r="Q6" s="7">
        <v>9.9</v>
      </c>
      <c r="R6" s="7" t="s">
        <v>138</v>
      </c>
      <c r="S6" s="7" t="s">
        <v>139</v>
      </c>
      <c r="V6" s="11" t="s">
        <v>110</v>
      </c>
    </row>
    <row r="7" spans="1:22" ht="14.5">
      <c r="A7" s="7" t="s">
        <v>140</v>
      </c>
      <c r="B7" s="7" t="s">
        <v>131</v>
      </c>
      <c r="C7" s="7" t="s">
        <v>107</v>
      </c>
      <c r="D7" s="7" t="s">
        <v>141</v>
      </c>
      <c r="E7" s="7" t="s">
        <v>142</v>
      </c>
      <c r="F7" s="7" t="s">
        <v>143</v>
      </c>
      <c r="G7" s="7" t="s">
        <v>144</v>
      </c>
      <c r="H7" s="8">
        <v>42863</v>
      </c>
      <c r="I7" s="9">
        <v>469986</v>
      </c>
      <c r="J7" s="10">
        <v>4.0999999999999996</v>
      </c>
      <c r="K7" s="7" t="s">
        <v>81</v>
      </c>
      <c r="L7" s="7" t="s">
        <v>82</v>
      </c>
      <c r="M7" s="7" t="s">
        <v>83</v>
      </c>
      <c r="N7" s="7" t="s">
        <v>84</v>
      </c>
      <c r="O7" s="7" t="s">
        <v>85</v>
      </c>
      <c r="P7" s="7" t="s">
        <v>145</v>
      </c>
      <c r="Q7" s="7">
        <v>8.1</v>
      </c>
      <c r="R7" s="7" t="s">
        <v>138</v>
      </c>
      <c r="S7" s="7" t="s">
        <v>146</v>
      </c>
      <c r="V7" s="11" t="s">
        <v>135</v>
      </c>
    </row>
    <row r="8" spans="1:22" ht="14.5">
      <c r="A8" s="7" t="s">
        <v>147</v>
      </c>
      <c r="B8" s="7" t="s">
        <v>148</v>
      </c>
      <c r="C8" s="7" t="s">
        <v>149</v>
      </c>
      <c r="D8" s="7" t="s">
        <v>150</v>
      </c>
      <c r="E8" s="7" t="s">
        <v>151</v>
      </c>
      <c r="F8" s="7" t="s">
        <v>110</v>
      </c>
      <c r="G8" s="7" t="s">
        <v>111</v>
      </c>
      <c r="H8" s="8">
        <v>44626</v>
      </c>
      <c r="I8" s="9">
        <v>596001</v>
      </c>
      <c r="J8" s="10">
        <v>2.7</v>
      </c>
      <c r="K8" s="7" t="s">
        <v>112</v>
      </c>
      <c r="L8" s="7" t="s">
        <v>113</v>
      </c>
      <c r="M8" s="7" t="s">
        <v>114</v>
      </c>
      <c r="N8" s="7" t="s">
        <v>84</v>
      </c>
      <c r="O8" s="7" t="s">
        <v>100</v>
      </c>
      <c r="P8" s="7" t="s">
        <v>152</v>
      </c>
      <c r="Q8" s="7">
        <v>3.2</v>
      </c>
      <c r="R8" s="7" t="s">
        <v>87</v>
      </c>
      <c r="S8" s="7" t="s">
        <v>153</v>
      </c>
      <c r="V8" s="11" t="s">
        <v>143</v>
      </c>
    </row>
    <row r="9" spans="1:22" ht="14.5">
      <c r="A9" s="7" t="s">
        <v>154</v>
      </c>
      <c r="B9" s="7" t="s">
        <v>155</v>
      </c>
      <c r="C9" s="7" t="s">
        <v>156</v>
      </c>
      <c r="D9" s="7" t="s">
        <v>157</v>
      </c>
      <c r="E9" s="7" t="s">
        <v>158</v>
      </c>
      <c r="F9" s="7" t="s">
        <v>117</v>
      </c>
      <c r="G9" s="7" t="s">
        <v>159</v>
      </c>
      <c r="H9" s="8">
        <v>44328</v>
      </c>
      <c r="I9" s="9">
        <v>932490</v>
      </c>
      <c r="J9" s="10">
        <v>2.6</v>
      </c>
      <c r="K9" s="7" t="s">
        <v>160</v>
      </c>
      <c r="L9" s="7" t="s">
        <v>161</v>
      </c>
      <c r="M9" s="7" t="s">
        <v>162</v>
      </c>
      <c r="N9" s="7" t="s">
        <v>84</v>
      </c>
      <c r="O9" s="7" t="s">
        <v>100</v>
      </c>
      <c r="P9" s="7" t="s">
        <v>145</v>
      </c>
      <c r="Q9" s="7">
        <v>4.0999999999999996</v>
      </c>
      <c r="R9" s="7" t="s">
        <v>87</v>
      </c>
      <c r="S9" s="7" t="s">
        <v>163</v>
      </c>
      <c r="V9" s="11" t="s">
        <v>95</v>
      </c>
    </row>
    <row r="10" spans="1:22" ht="14.5">
      <c r="A10" s="7" t="s">
        <v>164</v>
      </c>
      <c r="B10" s="7" t="s">
        <v>165</v>
      </c>
      <c r="C10" s="7" t="s">
        <v>76</v>
      </c>
      <c r="D10" s="7" t="s">
        <v>166</v>
      </c>
      <c r="E10" s="7" t="s">
        <v>167</v>
      </c>
      <c r="F10" s="7" t="s">
        <v>95</v>
      </c>
      <c r="G10" s="7" t="s">
        <v>96</v>
      </c>
      <c r="H10" s="8">
        <v>43081</v>
      </c>
      <c r="I10" s="9">
        <v>812311</v>
      </c>
      <c r="J10" s="10">
        <v>4.7</v>
      </c>
      <c r="K10" s="7" t="s">
        <v>124</v>
      </c>
      <c r="L10" s="7" t="s">
        <v>125</v>
      </c>
      <c r="M10" s="7" t="s">
        <v>126</v>
      </c>
      <c r="N10" s="7" t="s">
        <v>84</v>
      </c>
      <c r="O10" s="7" t="s">
        <v>100</v>
      </c>
      <c r="P10" s="7" t="s">
        <v>152</v>
      </c>
      <c r="Q10" s="7">
        <v>7.5</v>
      </c>
      <c r="R10" s="7" t="s">
        <v>87</v>
      </c>
      <c r="S10" s="7" t="s">
        <v>168</v>
      </c>
      <c r="V10" s="11" t="s">
        <v>169</v>
      </c>
    </row>
    <row r="11" spans="1:22" ht="14.5">
      <c r="A11" s="7" t="s">
        <v>170</v>
      </c>
      <c r="B11" s="7" t="s">
        <v>171</v>
      </c>
      <c r="C11" s="7" t="s">
        <v>172</v>
      </c>
      <c r="D11" s="7" t="s">
        <v>173</v>
      </c>
      <c r="E11" s="7" t="s">
        <v>174</v>
      </c>
      <c r="F11" s="7" t="s">
        <v>104</v>
      </c>
      <c r="G11" s="7" t="s">
        <v>175</v>
      </c>
      <c r="H11" s="8">
        <v>42631</v>
      </c>
      <c r="I11" s="9">
        <v>691938</v>
      </c>
      <c r="J11" s="10">
        <v>4.4000000000000004</v>
      </c>
      <c r="K11" s="7" t="s">
        <v>97</v>
      </c>
      <c r="L11" s="7" t="s">
        <v>98</v>
      </c>
      <c r="M11" s="7" t="s">
        <v>99</v>
      </c>
      <c r="N11" s="7" t="s">
        <v>84</v>
      </c>
      <c r="O11" s="7" t="s">
        <v>85</v>
      </c>
      <c r="P11" s="7" t="s">
        <v>115</v>
      </c>
      <c r="Q11" s="7">
        <v>8.6999999999999993</v>
      </c>
      <c r="R11" s="7" t="s">
        <v>138</v>
      </c>
      <c r="S11" s="7" t="s">
        <v>176</v>
      </c>
      <c r="V11" s="11" t="s">
        <v>79</v>
      </c>
    </row>
    <row r="12" spans="1:22" ht="14.5">
      <c r="A12" s="7" t="s">
        <v>177</v>
      </c>
      <c r="B12" s="7" t="s">
        <v>178</v>
      </c>
      <c r="C12" s="7" t="s">
        <v>179</v>
      </c>
      <c r="D12" s="7" t="s">
        <v>180</v>
      </c>
      <c r="E12" s="7" t="s">
        <v>181</v>
      </c>
      <c r="F12" s="7" t="s">
        <v>79</v>
      </c>
      <c r="G12" s="7" t="s">
        <v>182</v>
      </c>
      <c r="H12" s="8">
        <v>45530</v>
      </c>
      <c r="I12" s="9">
        <v>353009</v>
      </c>
      <c r="J12" s="10">
        <v>4</v>
      </c>
      <c r="K12" s="7" t="s">
        <v>183</v>
      </c>
      <c r="L12" s="7" t="s">
        <v>184</v>
      </c>
      <c r="M12" s="7" t="s">
        <v>185</v>
      </c>
      <c r="N12" s="7" t="s">
        <v>84</v>
      </c>
      <c r="O12" s="7" t="s">
        <v>186</v>
      </c>
      <c r="P12" s="7" t="s">
        <v>187</v>
      </c>
      <c r="Q12" s="7">
        <v>0.8</v>
      </c>
      <c r="R12" s="7" t="s">
        <v>138</v>
      </c>
      <c r="S12" s="7" t="s">
        <v>188</v>
      </c>
    </row>
    <row r="13" spans="1:22" ht="14.5">
      <c r="A13" s="7" t="s">
        <v>189</v>
      </c>
      <c r="B13" s="7" t="s">
        <v>190</v>
      </c>
      <c r="C13" s="7" t="s">
        <v>191</v>
      </c>
      <c r="D13" s="7" t="s">
        <v>192</v>
      </c>
      <c r="E13" s="7" t="s">
        <v>193</v>
      </c>
      <c r="F13" s="7" t="s">
        <v>110</v>
      </c>
      <c r="G13" s="7" t="s">
        <v>194</v>
      </c>
      <c r="H13" s="8">
        <v>43863</v>
      </c>
      <c r="I13" s="9">
        <v>750850</v>
      </c>
      <c r="J13" s="10">
        <v>4.9000000000000004</v>
      </c>
      <c r="K13" s="7" t="s">
        <v>195</v>
      </c>
      <c r="L13" s="7" t="s">
        <v>113</v>
      </c>
      <c r="M13" s="7" t="s">
        <v>196</v>
      </c>
      <c r="N13" s="7" t="s">
        <v>84</v>
      </c>
      <c r="O13" s="7" t="s">
        <v>186</v>
      </c>
      <c r="P13" s="7" t="s">
        <v>197</v>
      </c>
      <c r="Q13" s="7">
        <v>5.3</v>
      </c>
      <c r="R13" s="7" t="s">
        <v>87</v>
      </c>
      <c r="S13" s="7" t="s">
        <v>198</v>
      </c>
    </row>
    <row r="14" spans="1:22" ht="14.5">
      <c r="A14" s="7" t="s">
        <v>199</v>
      </c>
      <c r="B14" s="7" t="s">
        <v>200</v>
      </c>
      <c r="C14" s="7" t="s">
        <v>179</v>
      </c>
      <c r="D14" s="7" t="s">
        <v>201</v>
      </c>
      <c r="E14" s="7" t="s">
        <v>202</v>
      </c>
      <c r="F14" s="7" t="s">
        <v>169</v>
      </c>
      <c r="G14" s="7" t="s">
        <v>203</v>
      </c>
      <c r="H14" s="8">
        <v>42631</v>
      </c>
      <c r="I14" s="9">
        <v>1048019</v>
      </c>
      <c r="J14" s="10">
        <v>4.3</v>
      </c>
      <c r="K14" s="7" t="s">
        <v>204</v>
      </c>
      <c r="L14" s="7" t="s">
        <v>161</v>
      </c>
      <c r="M14" s="7" t="s">
        <v>205</v>
      </c>
      <c r="N14" s="7" t="s">
        <v>84</v>
      </c>
      <c r="O14" s="7" t="s">
        <v>100</v>
      </c>
      <c r="P14" s="7" t="s">
        <v>206</v>
      </c>
      <c r="Q14" s="7">
        <v>8.6999999999999993</v>
      </c>
      <c r="R14" s="7" t="s">
        <v>87</v>
      </c>
      <c r="S14" s="7" t="s">
        <v>207</v>
      </c>
    </row>
    <row r="15" spans="1:22" ht="14.5">
      <c r="A15" s="7" t="s">
        <v>208</v>
      </c>
      <c r="B15" s="7" t="s">
        <v>209</v>
      </c>
      <c r="C15" s="7" t="s">
        <v>210</v>
      </c>
      <c r="D15" s="7" t="s">
        <v>211</v>
      </c>
      <c r="E15" s="7" t="s">
        <v>212</v>
      </c>
      <c r="F15" s="7" t="s">
        <v>79</v>
      </c>
      <c r="G15" s="7" t="s">
        <v>80</v>
      </c>
      <c r="H15" s="8">
        <v>42242</v>
      </c>
      <c r="I15" s="9">
        <v>1113143</v>
      </c>
      <c r="J15" s="10">
        <v>4.5999999999999996</v>
      </c>
      <c r="K15" s="7" t="s">
        <v>81</v>
      </c>
      <c r="L15" s="7" t="s">
        <v>82</v>
      </c>
      <c r="M15" s="7" t="s">
        <v>83</v>
      </c>
      <c r="N15" s="7" t="s">
        <v>84</v>
      </c>
      <c r="O15" s="7" t="s">
        <v>100</v>
      </c>
      <c r="P15" s="7" t="s">
        <v>213</v>
      </c>
      <c r="Q15" s="7">
        <v>9.8000000000000007</v>
      </c>
      <c r="R15" s="7" t="s">
        <v>87</v>
      </c>
      <c r="S15" s="7" t="s">
        <v>214</v>
      </c>
    </row>
    <row r="16" spans="1:22" ht="14.5">
      <c r="A16" s="7" t="s">
        <v>215</v>
      </c>
      <c r="B16" s="7" t="s">
        <v>106</v>
      </c>
      <c r="C16" s="7" t="s">
        <v>216</v>
      </c>
      <c r="D16" s="7" t="s">
        <v>217</v>
      </c>
      <c r="E16" s="7" t="s">
        <v>218</v>
      </c>
      <c r="F16" s="7" t="s">
        <v>129</v>
      </c>
      <c r="G16" s="7" t="s">
        <v>219</v>
      </c>
      <c r="H16" s="8">
        <v>44707</v>
      </c>
      <c r="I16" s="9">
        <v>1474592</v>
      </c>
      <c r="J16" s="10">
        <v>4.8</v>
      </c>
      <c r="K16" s="7" t="s">
        <v>220</v>
      </c>
      <c r="L16" s="7"/>
      <c r="M16" s="7"/>
      <c r="N16" s="7" t="s">
        <v>84</v>
      </c>
      <c r="O16" s="7" t="s">
        <v>100</v>
      </c>
      <c r="P16" s="7" t="s">
        <v>127</v>
      </c>
      <c r="Q16" s="7">
        <v>3</v>
      </c>
      <c r="R16" s="7" t="s">
        <v>87</v>
      </c>
      <c r="S16" s="7" t="s">
        <v>221</v>
      </c>
    </row>
    <row r="17" spans="1:19" ht="14.5">
      <c r="A17" s="7" t="s">
        <v>222</v>
      </c>
      <c r="B17" s="7" t="s">
        <v>223</v>
      </c>
      <c r="C17" s="7" t="s">
        <v>216</v>
      </c>
      <c r="D17" s="7" t="s">
        <v>224</v>
      </c>
      <c r="E17" s="7" t="s">
        <v>225</v>
      </c>
      <c r="F17" s="7" t="s">
        <v>135</v>
      </c>
      <c r="G17" s="7" t="s">
        <v>226</v>
      </c>
      <c r="H17" s="8">
        <v>43639</v>
      </c>
      <c r="I17" s="9">
        <v>797889</v>
      </c>
      <c r="J17" s="10">
        <v>3.3</v>
      </c>
      <c r="K17" s="7" t="s">
        <v>204</v>
      </c>
      <c r="L17" s="7" t="s">
        <v>161</v>
      </c>
      <c r="M17" s="7" t="s">
        <v>205</v>
      </c>
      <c r="N17" s="7" t="s">
        <v>84</v>
      </c>
      <c r="O17" s="7" t="s">
        <v>227</v>
      </c>
      <c r="P17" s="7" t="s">
        <v>115</v>
      </c>
      <c r="Q17" s="7">
        <v>5.9</v>
      </c>
      <c r="R17" s="7" t="s">
        <v>138</v>
      </c>
      <c r="S17" s="7" t="s">
        <v>228</v>
      </c>
    </row>
    <row r="18" spans="1:19" ht="14.5">
      <c r="A18" s="7" t="s">
        <v>229</v>
      </c>
      <c r="B18" s="7" t="s">
        <v>230</v>
      </c>
      <c r="C18" s="7" t="s">
        <v>231</v>
      </c>
      <c r="D18" s="7" t="s">
        <v>232</v>
      </c>
      <c r="E18" s="7" t="s">
        <v>233</v>
      </c>
      <c r="F18" s="7" t="s">
        <v>169</v>
      </c>
      <c r="G18" s="7" t="s">
        <v>234</v>
      </c>
      <c r="H18" s="8">
        <v>42947</v>
      </c>
      <c r="I18" s="9">
        <v>707728</v>
      </c>
      <c r="J18" s="10">
        <v>2</v>
      </c>
      <c r="K18" s="7" t="s">
        <v>81</v>
      </c>
      <c r="L18" s="7" t="s">
        <v>82</v>
      </c>
      <c r="M18" s="7" t="s">
        <v>235</v>
      </c>
      <c r="N18" s="7" t="s">
        <v>84</v>
      </c>
      <c r="O18" s="7" t="s">
        <v>100</v>
      </c>
      <c r="P18" s="7" t="s">
        <v>115</v>
      </c>
      <c r="Q18" s="7">
        <v>7.8</v>
      </c>
      <c r="R18" s="7" t="s">
        <v>87</v>
      </c>
      <c r="S18" s="7" t="s">
        <v>236</v>
      </c>
    </row>
    <row r="19" spans="1:19" ht="14.5">
      <c r="A19" s="7" t="s">
        <v>237</v>
      </c>
      <c r="B19" s="7" t="s">
        <v>238</v>
      </c>
      <c r="C19" s="7" t="s">
        <v>92</v>
      </c>
      <c r="D19" s="7" t="s">
        <v>239</v>
      </c>
      <c r="E19" s="7" t="s">
        <v>240</v>
      </c>
      <c r="F19" s="7" t="s">
        <v>79</v>
      </c>
      <c r="G19" s="7" t="s">
        <v>241</v>
      </c>
      <c r="H19" s="8">
        <v>42882</v>
      </c>
      <c r="I19" s="9">
        <v>1391356</v>
      </c>
      <c r="J19" s="10">
        <v>2.4</v>
      </c>
      <c r="K19" s="7" t="s">
        <v>160</v>
      </c>
      <c r="L19" s="7" t="s">
        <v>161</v>
      </c>
      <c r="M19" s="7" t="s">
        <v>162</v>
      </c>
      <c r="N19" s="7" t="s">
        <v>84</v>
      </c>
      <c r="O19" s="7" t="s">
        <v>100</v>
      </c>
      <c r="P19" s="7" t="s">
        <v>101</v>
      </c>
      <c r="Q19" s="7">
        <v>8</v>
      </c>
      <c r="R19" s="7" t="s">
        <v>87</v>
      </c>
      <c r="S19" s="7" t="s">
        <v>242</v>
      </c>
    </row>
    <row r="20" spans="1:19" ht="14.5">
      <c r="A20" s="7" t="s">
        <v>243</v>
      </c>
      <c r="B20" s="7" t="s">
        <v>209</v>
      </c>
      <c r="C20" s="7" t="s">
        <v>244</v>
      </c>
      <c r="D20" s="7" t="s">
        <v>245</v>
      </c>
      <c r="E20" s="7" t="s">
        <v>246</v>
      </c>
      <c r="F20" s="7" t="s">
        <v>110</v>
      </c>
      <c r="G20" s="7" t="s">
        <v>111</v>
      </c>
      <c r="H20" s="8">
        <v>43739</v>
      </c>
      <c r="I20" s="9">
        <v>557767</v>
      </c>
      <c r="J20" s="10">
        <v>3.4</v>
      </c>
      <c r="K20" s="7" t="s">
        <v>81</v>
      </c>
      <c r="L20" s="7" t="s">
        <v>82</v>
      </c>
      <c r="M20" s="7" t="s">
        <v>235</v>
      </c>
      <c r="N20" s="7" t="s">
        <v>84</v>
      </c>
      <c r="O20" s="7" t="s">
        <v>100</v>
      </c>
      <c r="P20" s="7" t="s">
        <v>247</v>
      </c>
      <c r="Q20" s="7">
        <v>5.7</v>
      </c>
      <c r="R20" s="7" t="s">
        <v>87</v>
      </c>
      <c r="S20" s="7" t="s">
        <v>248</v>
      </c>
    </row>
    <row r="21" spans="1:19" ht="15.75" customHeight="1">
      <c r="A21" s="7" t="s">
        <v>249</v>
      </c>
      <c r="B21" s="7" t="s">
        <v>209</v>
      </c>
      <c r="C21" s="7" t="s">
        <v>92</v>
      </c>
      <c r="D21" s="7" t="s">
        <v>250</v>
      </c>
      <c r="E21" s="7" t="s">
        <v>251</v>
      </c>
      <c r="F21" s="7" t="s">
        <v>135</v>
      </c>
      <c r="G21" s="7" t="s">
        <v>252</v>
      </c>
      <c r="H21" s="8">
        <v>44201</v>
      </c>
      <c r="I21" s="9">
        <v>717601</v>
      </c>
      <c r="J21" s="10">
        <v>2.4</v>
      </c>
      <c r="K21" s="7" t="s">
        <v>253</v>
      </c>
      <c r="L21" s="7" t="s">
        <v>254</v>
      </c>
      <c r="M21" s="7" t="s">
        <v>255</v>
      </c>
      <c r="N21" s="7" t="s">
        <v>84</v>
      </c>
      <c r="O21" s="7" t="s">
        <v>100</v>
      </c>
      <c r="P21" s="7" t="s">
        <v>101</v>
      </c>
      <c r="Q21" s="7">
        <v>4.4000000000000004</v>
      </c>
      <c r="R21" s="7" t="s">
        <v>87</v>
      </c>
      <c r="S21" s="7" t="s">
        <v>256</v>
      </c>
    </row>
    <row r="22" spans="1:19" ht="15.75" customHeight="1">
      <c r="A22" s="7" t="s">
        <v>257</v>
      </c>
      <c r="B22" s="7" t="s">
        <v>258</v>
      </c>
      <c r="C22" s="7" t="s">
        <v>878</v>
      </c>
      <c r="D22" s="7" t="s">
        <v>879</v>
      </c>
      <c r="E22" s="7" t="s">
        <v>880</v>
      </c>
      <c r="F22" s="7" t="s">
        <v>104</v>
      </c>
      <c r="G22" s="7" t="s">
        <v>259</v>
      </c>
      <c r="H22" s="8">
        <v>45429</v>
      </c>
      <c r="I22" s="9">
        <v>353868</v>
      </c>
      <c r="J22" s="10">
        <v>4.9000000000000004</v>
      </c>
      <c r="K22" s="7" t="s">
        <v>195</v>
      </c>
      <c r="L22" s="7" t="s">
        <v>113</v>
      </c>
      <c r="M22" s="7" t="s">
        <v>260</v>
      </c>
      <c r="N22" s="7" t="s">
        <v>140</v>
      </c>
      <c r="O22" s="7" t="s">
        <v>100</v>
      </c>
      <c r="P22" s="7" t="s">
        <v>101</v>
      </c>
      <c r="Q22" s="7">
        <v>1</v>
      </c>
      <c r="R22" s="7" t="s">
        <v>138</v>
      </c>
      <c r="S22" s="7" t="s">
        <v>261</v>
      </c>
    </row>
    <row r="23" spans="1:19" ht="15.75" customHeight="1">
      <c r="A23" s="7" t="s">
        <v>262</v>
      </c>
      <c r="B23" s="7" t="s">
        <v>263</v>
      </c>
      <c r="C23" s="7" t="s">
        <v>107</v>
      </c>
      <c r="D23" s="7" t="s">
        <v>264</v>
      </c>
      <c r="E23" s="7" t="s">
        <v>265</v>
      </c>
      <c r="F23" s="7" t="s">
        <v>110</v>
      </c>
      <c r="G23" s="7" t="s">
        <v>266</v>
      </c>
      <c r="H23" s="8">
        <v>43604</v>
      </c>
      <c r="I23" s="9">
        <v>719521</v>
      </c>
      <c r="J23" s="10">
        <v>4.8</v>
      </c>
      <c r="K23" s="7" t="s">
        <v>267</v>
      </c>
      <c r="L23" s="7" t="s">
        <v>268</v>
      </c>
      <c r="M23" s="7" t="s">
        <v>269</v>
      </c>
      <c r="N23" s="7" t="s">
        <v>170</v>
      </c>
      <c r="O23" s="7" t="s">
        <v>100</v>
      </c>
      <c r="P23" s="7" t="s">
        <v>213</v>
      </c>
      <c r="Q23" s="7">
        <v>6</v>
      </c>
      <c r="R23" s="7" t="s">
        <v>138</v>
      </c>
      <c r="S23" s="7" t="s">
        <v>270</v>
      </c>
    </row>
    <row r="24" spans="1:19" ht="15.75" customHeight="1">
      <c r="A24" s="7" t="s">
        <v>271</v>
      </c>
      <c r="B24" s="7" t="s">
        <v>272</v>
      </c>
      <c r="C24" s="7" t="s">
        <v>273</v>
      </c>
      <c r="D24" s="7" t="s">
        <v>274</v>
      </c>
      <c r="E24" s="7" t="s">
        <v>275</v>
      </c>
      <c r="F24" s="7" t="s">
        <v>79</v>
      </c>
      <c r="G24" s="7" t="s">
        <v>80</v>
      </c>
      <c r="H24" s="8">
        <v>42244</v>
      </c>
      <c r="I24" s="9">
        <v>1192133</v>
      </c>
      <c r="J24" s="10">
        <v>2.2000000000000002</v>
      </c>
      <c r="K24" s="7" t="s">
        <v>112</v>
      </c>
      <c r="L24" s="7" t="s">
        <v>113</v>
      </c>
      <c r="M24" s="7" t="s">
        <v>114</v>
      </c>
      <c r="N24" s="7" t="s">
        <v>90</v>
      </c>
      <c r="O24" s="7" t="s">
        <v>100</v>
      </c>
      <c r="P24" s="7" t="s">
        <v>206</v>
      </c>
      <c r="Q24" s="7">
        <v>9.8000000000000007</v>
      </c>
      <c r="R24" s="7" t="s">
        <v>138</v>
      </c>
      <c r="S24" s="7" t="s">
        <v>276</v>
      </c>
    </row>
    <row r="25" spans="1:19" ht="15.75" customHeight="1">
      <c r="A25" s="7" t="s">
        <v>277</v>
      </c>
      <c r="B25" s="7" t="s">
        <v>278</v>
      </c>
      <c r="C25" s="7" t="s">
        <v>279</v>
      </c>
      <c r="D25" s="7" t="s">
        <v>280</v>
      </c>
      <c r="E25" s="7" t="s">
        <v>281</v>
      </c>
      <c r="F25" s="7" t="s">
        <v>95</v>
      </c>
      <c r="G25" s="7" t="s">
        <v>282</v>
      </c>
      <c r="H25" s="8">
        <v>45492</v>
      </c>
      <c r="I25" s="9">
        <v>1998712</v>
      </c>
      <c r="J25" s="10">
        <v>2.2000000000000002</v>
      </c>
      <c r="K25" s="7" t="s">
        <v>81</v>
      </c>
      <c r="L25" s="7" t="s">
        <v>82</v>
      </c>
      <c r="M25" s="7" t="s">
        <v>83</v>
      </c>
      <c r="N25" s="7" t="s">
        <v>154</v>
      </c>
      <c r="O25" s="7" t="s">
        <v>100</v>
      </c>
      <c r="P25" s="7" t="s">
        <v>115</v>
      </c>
      <c r="Q25" s="7">
        <v>0.9</v>
      </c>
      <c r="R25" s="7" t="s">
        <v>138</v>
      </c>
      <c r="S25" s="7" t="s">
        <v>283</v>
      </c>
    </row>
    <row r="26" spans="1:19" ht="15.75" customHeight="1">
      <c r="A26" s="7" t="s">
        <v>284</v>
      </c>
      <c r="B26" s="7" t="s">
        <v>285</v>
      </c>
      <c r="C26" s="7" t="s">
        <v>279</v>
      </c>
      <c r="D26" s="7" t="s">
        <v>286</v>
      </c>
      <c r="E26" s="7" t="s">
        <v>287</v>
      </c>
      <c r="F26" s="7" t="s">
        <v>169</v>
      </c>
      <c r="G26" s="7" t="s">
        <v>288</v>
      </c>
      <c r="H26" s="8">
        <v>43722</v>
      </c>
      <c r="I26" s="9">
        <v>698170</v>
      </c>
      <c r="J26" s="10">
        <v>3.6</v>
      </c>
      <c r="K26" s="7" t="s">
        <v>289</v>
      </c>
      <c r="L26" s="7"/>
      <c r="M26" s="7"/>
      <c r="N26" s="7" t="s">
        <v>147</v>
      </c>
      <c r="O26" s="7" t="s">
        <v>100</v>
      </c>
      <c r="P26" s="7" t="s">
        <v>152</v>
      </c>
      <c r="Q26" s="7">
        <v>5.7</v>
      </c>
      <c r="R26" s="7" t="s">
        <v>138</v>
      </c>
      <c r="S26" s="7" t="s">
        <v>290</v>
      </c>
    </row>
    <row r="27" spans="1:19" ht="15.75" customHeight="1">
      <c r="A27" s="7" t="s">
        <v>291</v>
      </c>
      <c r="B27" s="7" t="s">
        <v>292</v>
      </c>
      <c r="C27" s="7" t="s">
        <v>293</v>
      </c>
      <c r="D27" s="7" t="s">
        <v>294</v>
      </c>
      <c r="E27" s="7" t="s">
        <v>295</v>
      </c>
      <c r="F27" s="7" t="s">
        <v>79</v>
      </c>
      <c r="G27" s="7" t="s">
        <v>241</v>
      </c>
      <c r="H27" s="8">
        <v>43300</v>
      </c>
      <c r="I27" s="9">
        <v>1269016</v>
      </c>
      <c r="J27" s="10">
        <v>2</v>
      </c>
      <c r="K27" s="7" t="s">
        <v>183</v>
      </c>
      <c r="L27" s="7" t="s">
        <v>184</v>
      </c>
      <c r="M27" s="7" t="s">
        <v>185</v>
      </c>
      <c r="N27" s="7" t="s">
        <v>105</v>
      </c>
      <c r="O27" s="7" t="s">
        <v>186</v>
      </c>
      <c r="P27" s="7" t="s">
        <v>152</v>
      </c>
      <c r="Q27" s="7">
        <v>6.9</v>
      </c>
      <c r="R27" s="7" t="s">
        <v>87</v>
      </c>
      <c r="S27" s="7" t="s">
        <v>296</v>
      </c>
    </row>
    <row r="28" spans="1:19" ht="15.75" customHeight="1">
      <c r="A28" s="7" t="s">
        <v>297</v>
      </c>
      <c r="B28" s="7" t="s">
        <v>119</v>
      </c>
      <c r="C28" s="7" t="s">
        <v>298</v>
      </c>
      <c r="D28" s="7" t="s">
        <v>299</v>
      </c>
      <c r="E28" s="7" t="s">
        <v>300</v>
      </c>
      <c r="F28" s="7" t="s">
        <v>135</v>
      </c>
      <c r="G28" s="7" t="s">
        <v>226</v>
      </c>
      <c r="H28" s="8">
        <v>43172</v>
      </c>
      <c r="I28" s="9">
        <v>741352</v>
      </c>
      <c r="J28" s="10">
        <v>3.3</v>
      </c>
      <c r="K28" s="7" t="s">
        <v>112</v>
      </c>
      <c r="L28" s="7" t="s">
        <v>113</v>
      </c>
      <c r="M28" s="7" t="s">
        <v>301</v>
      </c>
      <c r="N28" s="7" t="s">
        <v>249</v>
      </c>
      <c r="O28" s="7" t="s">
        <v>186</v>
      </c>
      <c r="P28" s="7" t="s">
        <v>247</v>
      </c>
      <c r="Q28" s="7">
        <v>7.2</v>
      </c>
      <c r="R28" s="7" t="s">
        <v>87</v>
      </c>
      <c r="S28" s="7" t="s">
        <v>302</v>
      </c>
    </row>
    <row r="29" spans="1:19" ht="15.75" customHeight="1">
      <c r="A29" s="7" t="s">
        <v>303</v>
      </c>
      <c r="B29" s="7" t="s">
        <v>304</v>
      </c>
      <c r="C29" s="7" t="s">
        <v>305</v>
      </c>
      <c r="D29" s="7" t="s">
        <v>306</v>
      </c>
      <c r="E29" s="7" t="s">
        <v>307</v>
      </c>
      <c r="F29" s="7" t="s">
        <v>117</v>
      </c>
      <c r="G29" s="7" t="s">
        <v>159</v>
      </c>
      <c r="H29" s="8">
        <v>43088</v>
      </c>
      <c r="I29" s="9">
        <v>880258</v>
      </c>
      <c r="J29" s="10">
        <v>4.7</v>
      </c>
      <c r="K29" s="7" t="s">
        <v>183</v>
      </c>
      <c r="L29" s="7" t="s">
        <v>184</v>
      </c>
      <c r="M29" s="7" t="s">
        <v>308</v>
      </c>
      <c r="N29" s="7" t="s">
        <v>164</v>
      </c>
      <c r="O29" s="7" t="s">
        <v>100</v>
      </c>
      <c r="P29" s="7" t="s">
        <v>206</v>
      </c>
      <c r="Q29" s="7">
        <v>7.4</v>
      </c>
      <c r="R29" s="7" t="s">
        <v>138</v>
      </c>
      <c r="S29" s="7" t="s">
        <v>309</v>
      </c>
    </row>
    <row r="30" spans="1:19" ht="15.75" customHeight="1">
      <c r="A30" s="7" t="s">
        <v>310</v>
      </c>
      <c r="B30" s="7" t="s">
        <v>91</v>
      </c>
      <c r="C30" s="7" t="s">
        <v>305</v>
      </c>
      <c r="D30" s="7" t="s">
        <v>311</v>
      </c>
      <c r="E30" s="7" t="s">
        <v>312</v>
      </c>
      <c r="F30" s="7" t="s">
        <v>79</v>
      </c>
      <c r="G30" s="7" t="s">
        <v>182</v>
      </c>
      <c r="H30" s="8">
        <v>44006</v>
      </c>
      <c r="I30" s="9">
        <v>415829</v>
      </c>
      <c r="J30" s="10">
        <v>4.7</v>
      </c>
      <c r="K30" s="7" t="s">
        <v>81</v>
      </c>
      <c r="L30" s="7" t="s">
        <v>82</v>
      </c>
      <c r="M30" s="7" t="s">
        <v>235</v>
      </c>
      <c r="N30" s="7" t="s">
        <v>105</v>
      </c>
      <c r="O30" s="7" t="s">
        <v>100</v>
      </c>
      <c r="P30" s="7" t="s">
        <v>187</v>
      </c>
      <c r="Q30" s="7">
        <v>4.9000000000000004</v>
      </c>
      <c r="R30" s="7" t="s">
        <v>87</v>
      </c>
      <c r="S30" s="7" t="s">
        <v>313</v>
      </c>
    </row>
    <row r="31" spans="1:19" ht="15.75" customHeight="1">
      <c r="A31" s="7" t="s">
        <v>314</v>
      </c>
      <c r="B31" s="7" t="s">
        <v>106</v>
      </c>
      <c r="C31" s="7" t="s">
        <v>315</v>
      </c>
      <c r="D31" s="7" t="s">
        <v>316</v>
      </c>
      <c r="E31" s="7" t="s">
        <v>317</v>
      </c>
      <c r="F31" s="7" t="s">
        <v>79</v>
      </c>
      <c r="G31" s="7" t="s">
        <v>80</v>
      </c>
      <c r="H31" s="8">
        <v>45041</v>
      </c>
      <c r="I31" s="9">
        <v>1165824</v>
      </c>
      <c r="J31" s="10">
        <v>3.7</v>
      </c>
      <c r="K31" s="7" t="s">
        <v>97</v>
      </c>
      <c r="L31" s="7" t="s">
        <v>98</v>
      </c>
      <c r="M31" s="7" t="s">
        <v>99</v>
      </c>
      <c r="N31" s="7" t="s">
        <v>237</v>
      </c>
      <c r="O31" s="7" t="s">
        <v>100</v>
      </c>
      <c r="P31" s="7" t="s">
        <v>115</v>
      </c>
      <c r="Q31" s="7">
        <v>2.1</v>
      </c>
      <c r="R31" s="7" t="s">
        <v>87</v>
      </c>
      <c r="S31" s="7" t="s">
        <v>318</v>
      </c>
    </row>
    <row r="32" spans="1:19" ht="15.75" customHeight="1">
      <c r="A32" s="7" t="s">
        <v>319</v>
      </c>
      <c r="B32" s="7" t="s">
        <v>320</v>
      </c>
      <c r="C32" s="7" t="s">
        <v>279</v>
      </c>
      <c r="D32" s="7" t="s">
        <v>321</v>
      </c>
      <c r="E32" s="7" t="s">
        <v>322</v>
      </c>
      <c r="F32" s="7" t="s">
        <v>143</v>
      </c>
      <c r="G32" s="7" t="s">
        <v>323</v>
      </c>
      <c r="H32" s="8">
        <v>44268</v>
      </c>
      <c r="I32" s="9">
        <v>638821</v>
      </c>
      <c r="J32" s="10">
        <v>3.3</v>
      </c>
      <c r="K32" s="7" t="s">
        <v>81</v>
      </c>
      <c r="L32" s="7" t="s">
        <v>82</v>
      </c>
      <c r="M32" s="7" t="s">
        <v>235</v>
      </c>
      <c r="N32" s="7" t="s">
        <v>170</v>
      </c>
      <c r="O32" s="7" t="s">
        <v>100</v>
      </c>
      <c r="P32" s="7" t="s">
        <v>247</v>
      </c>
      <c r="Q32" s="7">
        <v>4.2</v>
      </c>
      <c r="R32" s="7" t="s">
        <v>87</v>
      </c>
      <c r="S32" s="7" t="s">
        <v>324</v>
      </c>
    </row>
    <row r="33" spans="1:19" ht="15.75" customHeight="1">
      <c r="A33" s="7" t="s">
        <v>325</v>
      </c>
      <c r="B33" s="7" t="s">
        <v>292</v>
      </c>
      <c r="C33" s="7" t="s">
        <v>244</v>
      </c>
      <c r="D33" s="7" t="s">
        <v>326</v>
      </c>
      <c r="E33" s="7" t="s">
        <v>327</v>
      </c>
      <c r="F33" s="7" t="s">
        <v>143</v>
      </c>
      <c r="G33" s="7" t="s">
        <v>323</v>
      </c>
      <c r="H33" s="8">
        <v>45626</v>
      </c>
      <c r="I33" s="9">
        <v>706529</v>
      </c>
      <c r="J33" s="10">
        <v>4.9000000000000004</v>
      </c>
      <c r="K33" s="7" t="s">
        <v>183</v>
      </c>
      <c r="L33" s="7" t="s">
        <v>184</v>
      </c>
      <c r="M33" s="7" t="s">
        <v>308</v>
      </c>
      <c r="N33" s="7" t="s">
        <v>154</v>
      </c>
      <c r="O33" s="7" t="s">
        <v>100</v>
      </c>
      <c r="P33" s="7" t="s">
        <v>197</v>
      </c>
      <c r="Q33" s="7">
        <v>0.5</v>
      </c>
      <c r="R33" s="7" t="s">
        <v>87</v>
      </c>
      <c r="S33" s="7" t="s">
        <v>328</v>
      </c>
    </row>
    <row r="34" spans="1:19" ht="15.75" customHeight="1">
      <c r="A34" s="7" t="s">
        <v>329</v>
      </c>
      <c r="B34" s="7" t="s">
        <v>330</v>
      </c>
      <c r="C34" s="7" t="s">
        <v>331</v>
      </c>
      <c r="D34" s="7" t="s">
        <v>332</v>
      </c>
      <c r="E34" s="7" t="s">
        <v>333</v>
      </c>
      <c r="F34" s="7" t="s">
        <v>110</v>
      </c>
      <c r="G34" s="7" t="s">
        <v>194</v>
      </c>
      <c r="H34" s="8">
        <v>43097</v>
      </c>
      <c r="I34" s="9">
        <v>791732</v>
      </c>
      <c r="J34" s="10">
        <v>4.4000000000000004</v>
      </c>
      <c r="K34" s="7" t="s">
        <v>183</v>
      </c>
      <c r="L34" s="7" t="s">
        <v>184</v>
      </c>
      <c r="M34" s="7" t="s">
        <v>185</v>
      </c>
      <c r="N34" s="7" t="s">
        <v>199</v>
      </c>
      <c r="O34" s="7" t="s">
        <v>100</v>
      </c>
      <c r="P34" s="7" t="s">
        <v>101</v>
      </c>
      <c r="Q34" s="7">
        <v>7.4</v>
      </c>
      <c r="R34" s="7" t="s">
        <v>87</v>
      </c>
      <c r="S34" s="7" t="s">
        <v>334</v>
      </c>
    </row>
    <row r="35" spans="1:19" ht="15.75" customHeight="1">
      <c r="A35" s="7" t="s">
        <v>335</v>
      </c>
      <c r="B35" s="7" t="s">
        <v>336</v>
      </c>
      <c r="C35" s="7" t="s">
        <v>191</v>
      </c>
      <c r="D35" s="7" t="s">
        <v>337</v>
      </c>
      <c r="E35" s="7" t="s">
        <v>338</v>
      </c>
      <c r="F35" s="7" t="s">
        <v>135</v>
      </c>
      <c r="G35" s="7" t="s">
        <v>252</v>
      </c>
      <c r="H35" s="8">
        <v>42101</v>
      </c>
      <c r="I35" s="9">
        <v>650627</v>
      </c>
      <c r="J35" s="10">
        <v>3.2</v>
      </c>
      <c r="K35" s="7" t="s">
        <v>195</v>
      </c>
      <c r="L35" s="7" t="s">
        <v>113</v>
      </c>
      <c r="M35" s="7" t="s">
        <v>196</v>
      </c>
      <c r="N35" s="7" t="s">
        <v>105</v>
      </c>
      <c r="O35" s="7" t="s">
        <v>100</v>
      </c>
      <c r="P35" s="7" t="s">
        <v>339</v>
      </c>
      <c r="Q35" s="7">
        <v>10.199999999999999</v>
      </c>
      <c r="R35" s="7" t="s">
        <v>138</v>
      </c>
      <c r="S35" s="7" t="s">
        <v>340</v>
      </c>
    </row>
    <row r="36" spans="1:19" ht="15.75" customHeight="1">
      <c r="A36" s="7" t="s">
        <v>341</v>
      </c>
      <c r="B36" s="7" t="s">
        <v>258</v>
      </c>
      <c r="C36" s="7" t="s">
        <v>331</v>
      </c>
      <c r="D36" s="7" t="s">
        <v>342</v>
      </c>
      <c r="E36" s="7" t="s">
        <v>343</v>
      </c>
      <c r="F36" s="7" t="s">
        <v>104</v>
      </c>
      <c r="G36" s="7" t="s">
        <v>175</v>
      </c>
      <c r="H36" s="8">
        <v>45597</v>
      </c>
      <c r="I36" s="9">
        <v>718475</v>
      </c>
      <c r="J36" s="10">
        <v>2.5</v>
      </c>
      <c r="K36" s="7" t="s">
        <v>289</v>
      </c>
      <c r="L36" s="7"/>
      <c r="M36" s="7"/>
      <c r="N36" s="7" t="s">
        <v>90</v>
      </c>
      <c r="O36" s="7" t="s">
        <v>100</v>
      </c>
      <c r="P36" s="7" t="s">
        <v>206</v>
      </c>
      <c r="Q36" s="7">
        <v>0.6</v>
      </c>
      <c r="R36" s="7" t="s">
        <v>138</v>
      </c>
      <c r="S36" s="7" t="s">
        <v>344</v>
      </c>
    </row>
    <row r="37" spans="1:19" ht="15.75" customHeight="1">
      <c r="A37" s="7" t="s">
        <v>345</v>
      </c>
      <c r="B37" s="7" t="s">
        <v>346</v>
      </c>
      <c r="C37" s="7" t="s">
        <v>120</v>
      </c>
      <c r="D37" s="7" t="s">
        <v>347</v>
      </c>
      <c r="E37" s="7" t="s">
        <v>348</v>
      </c>
      <c r="F37" s="7" t="s">
        <v>95</v>
      </c>
      <c r="G37" s="7" t="s">
        <v>282</v>
      </c>
      <c r="H37" s="8">
        <v>43582</v>
      </c>
      <c r="I37" s="9">
        <v>1999828</v>
      </c>
      <c r="J37" s="10">
        <v>2.8</v>
      </c>
      <c r="K37" s="7" t="s">
        <v>97</v>
      </c>
      <c r="L37" s="7" t="s">
        <v>98</v>
      </c>
      <c r="M37" s="7" t="s">
        <v>99</v>
      </c>
      <c r="N37" s="7" t="s">
        <v>74</v>
      </c>
      <c r="O37" s="7" t="s">
        <v>186</v>
      </c>
      <c r="P37" s="7" t="s">
        <v>127</v>
      </c>
      <c r="Q37" s="7">
        <v>6.1</v>
      </c>
      <c r="R37" s="7" t="s">
        <v>87</v>
      </c>
      <c r="S37" s="7" t="s">
        <v>349</v>
      </c>
    </row>
    <row r="38" spans="1:19" ht="15.75" customHeight="1">
      <c r="A38" s="7" t="s">
        <v>350</v>
      </c>
      <c r="B38" s="7" t="s">
        <v>119</v>
      </c>
      <c r="C38" s="7" t="s">
        <v>351</v>
      </c>
      <c r="D38" s="7" t="s">
        <v>352</v>
      </c>
      <c r="E38" s="7" t="s">
        <v>353</v>
      </c>
      <c r="F38" s="7" t="s">
        <v>117</v>
      </c>
      <c r="G38" s="7" t="s">
        <v>354</v>
      </c>
      <c r="H38" s="8">
        <v>44557</v>
      </c>
      <c r="I38" s="9">
        <v>1532291</v>
      </c>
      <c r="J38" s="10">
        <v>4</v>
      </c>
      <c r="K38" s="7" t="s">
        <v>183</v>
      </c>
      <c r="L38" s="7" t="s">
        <v>184</v>
      </c>
      <c r="M38" s="7" t="s">
        <v>185</v>
      </c>
      <c r="N38" s="7" t="s">
        <v>170</v>
      </c>
      <c r="O38" s="7" t="s">
        <v>186</v>
      </c>
      <c r="P38" s="7" t="s">
        <v>187</v>
      </c>
      <c r="Q38" s="7">
        <v>3.4</v>
      </c>
      <c r="R38" s="7" t="s">
        <v>87</v>
      </c>
      <c r="S38" s="7" t="s">
        <v>355</v>
      </c>
    </row>
    <row r="39" spans="1:19" ht="15.75" customHeight="1">
      <c r="A39" s="7" t="s">
        <v>356</v>
      </c>
      <c r="B39" s="7" t="s">
        <v>155</v>
      </c>
      <c r="C39" s="7" t="s">
        <v>357</v>
      </c>
      <c r="D39" s="7" t="s">
        <v>358</v>
      </c>
      <c r="E39" s="7" t="s">
        <v>359</v>
      </c>
      <c r="F39" s="7" t="s">
        <v>79</v>
      </c>
      <c r="G39" s="7" t="s">
        <v>182</v>
      </c>
      <c r="H39" s="8">
        <v>42526</v>
      </c>
      <c r="I39" s="9">
        <v>400289</v>
      </c>
      <c r="J39" s="10">
        <v>3.3</v>
      </c>
      <c r="K39" s="7" t="s">
        <v>124</v>
      </c>
      <c r="L39" s="7" t="s">
        <v>125</v>
      </c>
      <c r="M39" s="7" t="s">
        <v>126</v>
      </c>
      <c r="N39" s="7" t="s">
        <v>140</v>
      </c>
      <c r="O39" s="7" t="s">
        <v>85</v>
      </c>
      <c r="P39" s="7" t="s">
        <v>206</v>
      </c>
      <c r="Q39" s="7">
        <v>9</v>
      </c>
      <c r="R39" s="7" t="s">
        <v>87</v>
      </c>
      <c r="S39" s="7" t="s">
        <v>360</v>
      </c>
    </row>
    <row r="40" spans="1:19" ht="15.75" customHeight="1">
      <c r="A40" s="7" t="s">
        <v>361</v>
      </c>
      <c r="B40" s="7" t="s">
        <v>362</v>
      </c>
      <c r="C40" s="7" t="s">
        <v>191</v>
      </c>
      <c r="D40" s="7" t="s">
        <v>363</v>
      </c>
      <c r="E40" s="7" t="s">
        <v>364</v>
      </c>
      <c r="F40" s="7" t="s">
        <v>79</v>
      </c>
      <c r="G40" s="7" t="s">
        <v>80</v>
      </c>
      <c r="H40" s="8">
        <v>43765</v>
      </c>
      <c r="I40" s="9">
        <v>1134475</v>
      </c>
      <c r="J40" s="10">
        <v>3.4</v>
      </c>
      <c r="K40" s="7" t="s">
        <v>267</v>
      </c>
      <c r="L40" s="7" t="s">
        <v>268</v>
      </c>
      <c r="M40" s="7" t="s">
        <v>269</v>
      </c>
      <c r="N40" s="7" t="s">
        <v>147</v>
      </c>
      <c r="O40" s="7" t="s">
        <v>186</v>
      </c>
      <c r="P40" s="7" t="s">
        <v>101</v>
      </c>
      <c r="Q40" s="7">
        <v>5.6</v>
      </c>
      <c r="R40" s="7" t="s">
        <v>138</v>
      </c>
      <c r="S40" s="7" t="s">
        <v>365</v>
      </c>
    </row>
    <row r="41" spans="1:19" ht="15.75" customHeight="1">
      <c r="A41" s="7" t="s">
        <v>366</v>
      </c>
      <c r="B41" s="7" t="s">
        <v>292</v>
      </c>
      <c r="C41" s="7" t="s">
        <v>298</v>
      </c>
      <c r="D41" s="7" t="s">
        <v>367</v>
      </c>
      <c r="E41" s="7" t="s">
        <v>368</v>
      </c>
      <c r="F41" s="7" t="s">
        <v>79</v>
      </c>
      <c r="G41" s="7" t="s">
        <v>182</v>
      </c>
      <c r="H41" s="8">
        <v>44724</v>
      </c>
      <c r="I41" s="9">
        <v>437867</v>
      </c>
      <c r="J41" s="10">
        <v>2.2999999999999998</v>
      </c>
      <c r="K41" s="7" t="s">
        <v>195</v>
      </c>
      <c r="L41" s="7" t="s">
        <v>113</v>
      </c>
      <c r="M41" s="7" t="s">
        <v>260</v>
      </c>
      <c r="N41" s="7" t="s">
        <v>170</v>
      </c>
      <c r="O41" s="7" t="s">
        <v>100</v>
      </c>
      <c r="P41" s="7" t="s">
        <v>152</v>
      </c>
      <c r="Q41" s="7">
        <v>3</v>
      </c>
      <c r="R41" s="7" t="s">
        <v>87</v>
      </c>
      <c r="S41" s="7" t="s">
        <v>369</v>
      </c>
    </row>
    <row r="42" spans="1:19" ht="15.75" customHeight="1">
      <c r="A42" s="7" t="s">
        <v>370</v>
      </c>
      <c r="B42" s="7" t="s">
        <v>165</v>
      </c>
      <c r="C42" s="7" t="s">
        <v>371</v>
      </c>
      <c r="D42" s="7" t="s">
        <v>372</v>
      </c>
      <c r="E42" s="7" t="s">
        <v>373</v>
      </c>
      <c r="F42" s="7" t="s">
        <v>169</v>
      </c>
      <c r="G42" s="7" t="s">
        <v>288</v>
      </c>
      <c r="H42" s="8">
        <v>43870</v>
      </c>
      <c r="I42" s="9">
        <v>658643</v>
      </c>
      <c r="J42" s="10">
        <v>4.7</v>
      </c>
      <c r="K42" s="7" t="s">
        <v>253</v>
      </c>
      <c r="L42" s="7" t="s">
        <v>254</v>
      </c>
      <c r="M42" s="7" t="s">
        <v>374</v>
      </c>
      <c r="N42" s="7" t="s">
        <v>199</v>
      </c>
      <c r="O42" s="7" t="s">
        <v>227</v>
      </c>
      <c r="P42" s="7" t="s">
        <v>86</v>
      </c>
      <c r="Q42" s="7">
        <v>5.3</v>
      </c>
      <c r="R42" s="7" t="s">
        <v>87</v>
      </c>
      <c r="S42" s="7" t="s">
        <v>375</v>
      </c>
    </row>
    <row r="43" spans="1:19" ht="15.75" customHeight="1">
      <c r="A43" s="7" t="s">
        <v>376</v>
      </c>
      <c r="B43" s="7" t="s">
        <v>106</v>
      </c>
      <c r="C43" s="7" t="s">
        <v>172</v>
      </c>
      <c r="D43" s="7" t="s">
        <v>377</v>
      </c>
      <c r="E43" s="7" t="s">
        <v>378</v>
      </c>
      <c r="F43" s="7" t="s">
        <v>117</v>
      </c>
      <c r="G43" s="7" t="s">
        <v>379</v>
      </c>
      <c r="H43" s="8">
        <v>42901</v>
      </c>
      <c r="I43" s="9">
        <v>446107</v>
      </c>
      <c r="J43" s="10">
        <v>4.4000000000000004</v>
      </c>
      <c r="K43" s="7" t="s">
        <v>204</v>
      </c>
      <c r="L43" s="7" t="s">
        <v>161</v>
      </c>
      <c r="M43" s="7" t="s">
        <v>205</v>
      </c>
      <c r="N43" s="7" t="s">
        <v>215</v>
      </c>
      <c r="O43" s="7" t="s">
        <v>100</v>
      </c>
      <c r="P43" s="7" t="s">
        <v>127</v>
      </c>
      <c r="Q43" s="7">
        <v>8</v>
      </c>
      <c r="R43" s="7" t="s">
        <v>87</v>
      </c>
      <c r="S43" s="7" t="s">
        <v>380</v>
      </c>
    </row>
    <row r="44" spans="1:19" ht="15.75" customHeight="1">
      <c r="A44" s="7" t="s">
        <v>381</v>
      </c>
      <c r="B44" s="7" t="s">
        <v>382</v>
      </c>
      <c r="C44" s="7" t="s">
        <v>315</v>
      </c>
      <c r="D44" s="7" t="s">
        <v>383</v>
      </c>
      <c r="E44" s="7" t="s">
        <v>384</v>
      </c>
      <c r="F44" s="7" t="s">
        <v>89</v>
      </c>
      <c r="G44" s="7" t="s">
        <v>385</v>
      </c>
      <c r="H44" s="8">
        <v>44294</v>
      </c>
      <c r="I44" s="9">
        <v>1833177</v>
      </c>
      <c r="J44" s="10">
        <v>4.9000000000000004</v>
      </c>
      <c r="K44" s="7" t="s">
        <v>267</v>
      </c>
      <c r="L44" s="7" t="s">
        <v>268</v>
      </c>
      <c r="M44" s="7" t="s">
        <v>269</v>
      </c>
      <c r="N44" s="7" t="s">
        <v>249</v>
      </c>
      <c r="O44" s="7" t="s">
        <v>186</v>
      </c>
      <c r="P44" s="7" t="s">
        <v>86</v>
      </c>
      <c r="Q44" s="7">
        <v>4.0999999999999996</v>
      </c>
      <c r="R44" s="7" t="s">
        <v>87</v>
      </c>
      <c r="S44" s="7" t="s">
        <v>386</v>
      </c>
    </row>
    <row r="45" spans="1:19" ht="15.75" customHeight="1">
      <c r="A45" s="7" t="s">
        <v>387</v>
      </c>
      <c r="B45" s="7" t="s">
        <v>278</v>
      </c>
      <c r="C45" s="7" t="s">
        <v>76</v>
      </c>
      <c r="D45" s="7" t="s">
        <v>388</v>
      </c>
      <c r="E45" s="7" t="s">
        <v>389</v>
      </c>
      <c r="F45" s="7" t="s">
        <v>89</v>
      </c>
      <c r="G45" s="7" t="s">
        <v>390</v>
      </c>
      <c r="H45" s="8">
        <v>43066</v>
      </c>
      <c r="I45" s="9">
        <v>1214812</v>
      </c>
      <c r="J45" s="10">
        <v>4.5</v>
      </c>
      <c r="K45" s="7" t="s">
        <v>195</v>
      </c>
      <c r="L45" s="7" t="s">
        <v>113</v>
      </c>
      <c r="M45" s="7" t="s">
        <v>196</v>
      </c>
      <c r="N45" s="7" t="s">
        <v>229</v>
      </c>
      <c r="O45" s="7" t="s">
        <v>227</v>
      </c>
      <c r="P45" s="7" t="s">
        <v>145</v>
      </c>
      <c r="Q45" s="7">
        <v>7.5</v>
      </c>
      <c r="R45" s="7" t="s">
        <v>138</v>
      </c>
      <c r="S45" s="7" t="s">
        <v>391</v>
      </c>
    </row>
    <row r="46" spans="1:19" ht="15.75" customHeight="1">
      <c r="A46" s="7" t="s">
        <v>392</v>
      </c>
      <c r="B46" s="7" t="s">
        <v>393</v>
      </c>
      <c r="C46" s="7" t="s">
        <v>357</v>
      </c>
      <c r="D46" s="7" t="s">
        <v>394</v>
      </c>
      <c r="E46" s="7" t="s">
        <v>395</v>
      </c>
      <c r="F46" s="7" t="s">
        <v>79</v>
      </c>
      <c r="G46" s="7" t="s">
        <v>80</v>
      </c>
      <c r="H46" s="8">
        <v>43117</v>
      </c>
      <c r="I46" s="9">
        <v>1138040</v>
      </c>
      <c r="J46" s="10">
        <v>3</v>
      </c>
      <c r="K46" s="7" t="s">
        <v>81</v>
      </c>
      <c r="L46" s="7" t="s">
        <v>82</v>
      </c>
      <c r="M46" s="7" t="s">
        <v>83</v>
      </c>
      <c r="N46" s="7" t="s">
        <v>130</v>
      </c>
      <c r="O46" s="7" t="s">
        <v>100</v>
      </c>
      <c r="P46" s="7" t="s">
        <v>152</v>
      </c>
      <c r="Q46" s="7">
        <v>7.4</v>
      </c>
      <c r="R46" s="7" t="s">
        <v>138</v>
      </c>
      <c r="S46" s="7" t="s">
        <v>396</v>
      </c>
    </row>
    <row r="47" spans="1:19" ht="15.75" customHeight="1">
      <c r="A47" s="7" t="s">
        <v>397</v>
      </c>
      <c r="B47" s="7" t="s">
        <v>398</v>
      </c>
      <c r="C47" s="7" t="s">
        <v>273</v>
      </c>
      <c r="D47" s="7" t="s">
        <v>399</v>
      </c>
      <c r="E47" s="7" t="s">
        <v>400</v>
      </c>
      <c r="F47" s="7" t="s">
        <v>117</v>
      </c>
      <c r="G47" s="7" t="s">
        <v>379</v>
      </c>
      <c r="H47" s="8">
        <v>43674</v>
      </c>
      <c r="I47" s="9">
        <v>486738</v>
      </c>
      <c r="J47" s="10">
        <v>3.6</v>
      </c>
      <c r="K47" s="7" t="s">
        <v>97</v>
      </c>
      <c r="L47" s="7" t="s">
        <v>98</v>
      </c>
      <c r="M47" s="7" t="s">
        <v>99</v>
      </c>
      <c r="N47" s="7" t="s">
        <v>90</v>
      </c>
      <c r="O47" s="7" t="s">
        <v>100</v>
      </c>
      <c r="P47" s="7" t="s">
        <v>86</v>
      </c>
      <c r="Q47" s="7">
        <v>5.8</v>
      </c>
      <c r="R47" s="7" t="s">
        <v>87</v>
      </c>
      <c r="S47" s="7" t="s">
        <v>401</v>
      </c>
    </row>
    <row r="48" spans="1:19" ht="15.75" customHeight="1">
      <c r="A48" s="7" t="s">
        <v>402</v>
      </c>
      <c r="B48" s="7" t="s">
        <v>362</v>
      </c>
      <c r="C48" s="7" t="s">
        <v>172</v>
      </c>
      <c r="D48" s="7" t="s">
        <v>403</v>
      </c>
      <c r="E48" s="7" t="s">
        <v>404</v>
      </c>
      <c r="F48" s="7" t="s">
        <v>169</v>
      </c>
      <c r="G48" s="7" t="s">
        <v>405</v>
      </c>
      <c r="H48" s="8">
        <v>43958</v>
      </c>
      <c r="I48" s="9">
        <v>751545</v>
      </c>
      <c r="J48" s="10">
        <v>4.8</v>
      </c>
      <c r="K48" s="7" t="s">
        <v>112</v>
      </c>
      <c r="L48" s="7" t="s">
        <v>113</v>
      </c>
      <c r="M48" s="7" t="s">
        <v>301</v>
      </c>
      <c r="N48" s="7" t="s">
        <v>199</v>
      </c>
      <c r="O48" s="7" t="s">
        <v>100</v>
      </c>
      <c r="P48" s="7" t="s">
        <v>127</v>
      </c>
      <c r="Q48" s="7">
        <v>5.0999999999999996</v>
      </c>
      <c r="R48" s="7" t="s">
        <v>138</v>
      </c>
      <c r="S48" s="7" t="s">
        <v>406</v>
      </c>
    </row>
    <row r="49" spans="1:19" ht="15.75" customHeight="1">
      <c r="A49" s="7" t="s">
        <v>407</v>
      </c>
      <c r="B49" s="7" t="s">
        <v>285</v>
      </c>
      <c r="C49" s="7" t="s">
        <v>92</v>
      </c>
      <c r="D49" s="7" t="s">
        <v>408</v>
      </c>
      <c r="E49" s="7" t="s">
        <v>409</v>
      </c>
      <c r="F49" s="7" t="s">
        <v>89</v>
      </c>
      <c r="G49" s="7" t="s">
        <v>410</v>
      </c>
      <c r="H49" s="8">
        <v>43122</v>
      </c>
      <c r="I49" s="9">
        <v>1164251</v>
      </c>
      <c r="J49" s="10">
        <v>3.5</v>
      </c>
      <c r="K49" s="7" t="s">
        <v>124</v>
      </c>
      <c r="L49" s="7" t="s">
        <v>125</v>
      </c>
      <c r="M49" s="7" t="s">
        <v>126</v>
      </c>
      <c r="N49" s="7" t="s">
        <v>177</v>
      </c>
      <c r="O49" s="7" t="s">
        <v>100</v>
      </c>
      <c r="P49" s="7" t="s">
        <v>213</v>
      </c>
      <c r="Q49" s="7">
        <v>7.4</v>
      </c>
      <c r="R49" s="7" t="s">
        <v>138</v>
      </c>
      <c r="S49" s="7" t="s">
        <v>411</v>
      </c>
    </row>
    <row r="50" spans="1:19" ht="15.75" customHeight="1">
      <c r="A50" s="7" t="s">
        <v>412</v>
      </c>
      <c r="B50" s="7" t="s">
        <v>413</v>
      </c>
      <c r="C50" s="7" t="s">
        <v>120</v>
      </c>
      <c r="D50" s="7" t="s">
        <v>414</v>
      </c>
      <c r="E50" s="7" t="s">
        <v>415</v>
      </c>
      <c r="F50" s="7" t="s">
        <v>95</v>
      </c>
      <c r="G50" s="7" t="s">
        <v>282</v>
      </c>
      <c r="H50" s="8">
        <v>43618</v>
      </c>
      <c r="I50" s="9">
        <v>2097951</v>
      </c>
      <c r="J50" s="10">
        <v>4</v>
      </c>
      <c r="K50" s="7" t="s">
        <v>81</v>
      </c>
      <c r="L50" s="7" t="s">
        <v>82</v>
      </c>
      <c r="M50" s="7" t="s">
        <v>83</v>
      </c>
      <c r="N50" s="7" t="s">
        <v>208</v>
      </c>
      <c r="O50" s="7" t="s">
        <v>100</v>
      </c>
      <c r="P50" s="7" t="s">
        <v>101</v>
      </c>
      <c r="Q50" s="7">
        <v>6</v>
      </c>
      <c r="R50" s="7" t="s">
        <v>138</v>
      </c>
      <c r="S50" s="7" t="s">
        <v>416</v>
      </c>
    </row>
    <row r="51" spans="1:19" ht="15.75" customHeight="1">
      <c r="A51" s="7" t="s">
        <v>417</v>
      </c>
      <c r="B51" s="7" t="s">
        <v>155</v>
      </c>
      <c r="C51" s="7" t="s">
        <v>331</v>
      </c>
      <c r="D51" s="7" t="s">
        <v>418</v>
      </c>
      <c r="E51" s="7" t="s">
        <v>419</v>
      </c>
      <c r="F51" s="7" t="s">
        <v>135</v>
      </c>
      <c r="G51" s="7" t="s">
        <v>420</v>
      </c>
      <c r="H51" s="8">
        <v>43343</v>
      </c>
      <c r="I51" s="9">
        <v>1238473</v>
      </c>
      <c r="J51" s="10">
        <v>4.3</v>
      </c>
      <c r="K51" s="7" t="s">
        <v>124</v>
      </c>
      <c r="L51" s="7" t="s">
        <v>125</v>
      </c>
      <c r="M51" s="7" t="s">
        <v>126</v>
      </c>
      <c r="N51" s="7" t="s">
        <v>164</v>
      </c>
      <c r="O51" s="7" t="s">
        <v>100</v>
      </c>
      <c r="P51" s="7" t="s">
        <v>187</v>
      </c>
      <c r="Q51" s="7">
        <v>6.8</v>
      </c>
      <c r="R51" s="7" t="s">
        <v>87</v>
      </c>
      <c r="S51" s="7" t="s">
        <v>421</v>
      </c>
    </row>
    <row r="52" spans="1:19" ht="15.75" customHeight="1">
      <c r="A52" s="7" t="s">
        <v>422</v>
      </c>
      <c r="B52" s="7" t="s">
        <v>362</v>
      </c>
      <c r="C52" s="7" t="s">
        <v>76</v>
      </c>
      <c r="D52" s="7" t="s">
        <v>423</v>
      </c>
      <c r="E52" s="7" t="s">
        <v>424</v>
      </c>
      <c r="F52" s="7" t="s">
        <v>95</v>
      </c>
      <c r="G52" s="7" t="s">
        <v>282</v>
      </c>
      <c r="H52" s="8">
        <v>43438</v>
      </c>
      <c r="I52" s="9">
        <v>2008778</v>
      </c>
      <c r="J52" s="10">
        <v>4</v>
      </c>
      <c r="K52" s="7" t="s">
        <v>81</v>
      </c>
      <c r="L52" s="7" t="s">
        <v>82</v>
      </c>
      <c r="M52" s="7" t="s">
        <v>235</v>
      </c>
      <c r="N52" s="7" t="s">
        <v>74</v>
      </c>
      <c r="O52" s="7" t="s">
        <v>100</v>
      </c>
      <c r="P52" s="7" t="s">
        <v>152</v>
      </c>
      <c r="Q52" s="7">
        <v>6.5</v>
      </c>
      <c r="R52" s="7" t="s">
        <v>138</v>
      </c>
      <c r="S52" s="7" t="s">
        <v>425</v>
      </c>
    </row>
    <row r="53" spans="1:19" ht="15.75" customHeight="1">
      <c r="A53" s="7" t="s">
        <v>426</v>
      </c>
      <c r="B53" s="7" t="s">
        <v>413</v>
      </c>
      <c r="C53" s="7" t="s">
        <v>92</v>
      </c>
      <c r="D53" s="7" t="s">
        <v>427</v>
      </c>
      <c r="E53" s="7" t="s">
        <v>428</v>
      </c>
      <c r="F53" s="7" t="s">
        <v>129</v>
      </c>
      <c r="G53" s="7" t="s">
        <v>429</v>
      </c>
      <c r="H53" s="8">
        <v>44747</v>
      </c>
      <c r="I53" s="9">
        <v>979986</v>
      </c>
      <c r="J53" s="10">
        <v>3.7</v>
      </c>
      <c r="K53" s="7" t="s">
        <v>253</v>
      </c>
      <c r="L53" s="7" t="s">
        <v>254</v>
      </c>
      <c r="M53" s="7" t="s">
        <v>374</v>
      </c>
      <c r="N53" s="7" t="s">
        <v>215</v>
      </c>
      <c r="O53" s="7" t="s">
        <v>100</v>
      </c>
      <c r="P53" s="7" t="s">
        <v>339</v>
      </c>
      <c r="Q53" s="7">
        <v>2.9</v>
      </c>
      <c r="R53" s="7" t="s">
        <v>138</v>
      </c>
      <c r="S53" s="7" t="s">
        <v>430</v>
      </c>
    </row>
    <row r="54" spans="1:19" ht="15.75" customHeight="1">
      <c r="A54" s="7" t="s">
        <v>431</v>
      </c>
      <c r="B54" s="7" t="s">
        <v>432</v>
      </c>
      <c r="C54" s="7" t="s">
        <v>172</v>
      </c>
      <c r="D54" s="7" t="s">
        <v>433</v>
      </c>
      <c r="E54" s="7" t="s">
        <v>434</v>
      </c>
      <c r="F54" s="7" t="s">
        <v>129</v>
      </c>
      <c r="G54" s="7" t="s">
        <v>435</v>
      </c>
      <c r="H54" s="8">
        <v>42447</v>
      </c>
      <c r="I54" s="9">
        <v>506731</v>
      </c>
      <c r="J54" s="10">
        <v>4.8</v>
      </c>
      <c r="K54" s="7" t="s">
        <v>124</v>
      </c>
      <c r="L54" s="7" t="s">
        <v>125</v>
      </c>
      <c r="M54" s="7" t="s">
        <v>126</v>
      </c>
      <c r="N54" s="7" t="s">
        <v>199</v>
      </c>
      <c r="O54" s="7" t="s">
        <v>100</v>
      </c>
      <c r="P54" s="7" t="s">
        <v>115</v>
      </c>
      <c r="Q54" s="7">
        <v>9.1999999999999993</v>
      </c>
      <c r="R54" s="7" t="s">
        <v>138</v>
      </c>
      <c r="S54" s="7" t="s">
        <v>436</v>
      </c>
    </row>
    <row r="55" spans="1:19" ht="15.75" customHeight="1">
      <c r="A55" s="7" t="s">
        <v>437</v>
      </c>
      <c r="B55" s="7" t="s">
        <v>209</v>
      </c>
      <c r="C55" s="7" t="s">
        <v>357</v>
      </c>
      <c r="D55" s="7" t="s">
        <v>438</v>
      </c>
      <c r="E55" s="7" t="s">
        <v>439</v>
      </c>
      <c r="F55" s="7" t="s">
        <v>79</v>
      </c>
      <c r="G55" s="7" t="s">
        <v>182</v>
      </c>
      <c r="H55" s="8">
        <v>45304</v>
      </c>
      <c r="I55" s="9">
        <v>381733</v>
      </c>
      <c r="J55" s="10">
        <v>4.4000000000000004</v>
      </c>
      <c r="K55" s="7" t="s">
        <v>81</v>
      </c>
      <c r="L55" s="7" t="s">
        <v>82</v>
      </c>
      <c r="M55" s="7" t="s">
        <v>235</v>
      </c>
      <c r="N55" s="7" t="s">
        <v>189</v>
      </c>
      <c r="O55" s="7" t="s">
        <v>186</v>
      </c>
      <c r="P55" s="7" t="s">
        <v>86</v>
      </c>
      <c r="Q55" s="7">
        <v>1.4</v>
      </c>
      <c r="R55" s="7" t="s">
        <v>87</v>
      </c>
      <c r="S55" s="7" t="s">
        <v>440</v>
      </c>
    </row>
    <row r="56" spans="1:19" ht="15.75" customHeight="1">
      <c r="A56" s="7" t="s">
        <v>441</v>
      </c>
      <c r="B56" s="7" t="s">
        <v>238</v>
      </c>
      <c r="C56" s="7" t="s">
        <v>293</v>
      </c>
      <c r="D56" s="7" t="s">
        <v>442</v>
      </c>
      <c r="E56" s="7" t="s">
        <v>443</v>
      </c>
      <c r="F56" s="7" t="s">
        <v>143</v>
      </c>
      <c r="G56" s="7" t="s">
        <v>444</v>
      </c>
      <c r="H56" s="8">
        <v>45484</v>
      </c>
      <c r="I56" s="9">
        <v>660115</v>
      </c>
      <c r="J56" s="10">
        <v>4.5</v>
      </c>
      <c r="K56" s="7" t="s">
        <v>445</v>
      </c>
      <c r="L56" s="7"/>
      <c r="M56" s="7"/>
      <c r="N56" s="7" t="s">
        <v>208</v>
      </c>
      <c r="O56" s="7" t="s">
        <v>100</v>
      </c>
      <c r="P56" s="7" t="s">
        <v>145</v>
      </c>
      <c r="Q56" s="7">
        <v>0.9</v>
      </c>
      <c r="R56" s="7" t="s">
        <v>87</v>
      </c>
      <c r="S56" s="7" t="s">
        <v>446</v>
      </c>
    </row>
    <row r="57" spans="1:19" ht="15.75" customHeight="1">
      <c r="A57" s="7" t="s">
        <v>447</v>
      </c>
      <c r="B57" s="7" t="s">
        <v>448</v>
      </c>
      <c r="C57" s="7" t="s">
        <v>107</v>
      </c>
      <c r="D57" s="7" t="s">
        <v>449</v>
      </c>
      <c r="E57" s="7" t="s">
        <v>450</v>
      </c>
      <c r="F57" s="7" t="s">
        <v>95</v>
      </c>
      <c r="G57" s="7" t="s">
        <v>451</v>
      </c>
      <c r="H57" s="8">
        <v>44527</v>
      </c>
      <c r="I57" s="9">
        <v>1691078</v>
      </c>
      <c r="J57" s="10">
        <v>4.3</v>
      </c>
      <c r="K57" s="7" t="s">
        <v>267</v>
      </c>
      <c r="L57" s="7" t="s">
        <v>268</v>
      </c>
      <c r="M57" s="7" t="s">
        <v>269</v>
      </c>
      <c r="N57" s="7" t="s">
        <v>208</v>
      </c>
      <c r="O57" s="7" t="s">
        <v>85</v>
      </c>
      <c r="P57" s="7" t="s">
        <v>187</v>
      </c>
      <c r="Q57" s="7">
        <v>3.5</v>
      </c>
      <c r="R57" s="7" t="s">
        <v>87</v>
      </c>
      <c r="S57" s="7" t="s">
        <v>452</v>
      </c>
    </row>
    <row r="58" spans="1:19" ht="15.75" customHeight="1">
      <c r="A58" s="7" t="s">
        <v>453</v>
      </c>
      <c r="B58" s="7" t="s">
        <v>454</v>
      </c>
      <c r="C58" s="7" t="s">
        <v>156</v>
      </c>
      <c r="D58" s="7" t="s">
        <v>455</v>
      </c>
      <c r="E58" s="7" t="s">
        <v>456</v>
      </c>
      <c r="F58" s="7" t="s">
        <v>89</v>
      </c>
      <c r="G58" s="7" t="s">
        <v>410</v>
      </c>
      <c r="H58" s="8">
        <v>45078</v>
      </c>
      <c r="I58" s="9">
        <v>1171820</v>
      </c>
      <c r="J58" s="10">
        <v>3.7</v>
      </c>
      <c r="K58" s="7" t="s">
        <v>124</v>
      </c>
      <c r="L58" s="7" t="s">
        <v>125</v>
      </c>
      <c r="M58" s="7" t="s">
        <v>126</v>
      </c>
      <c r="N58" s="7" t="s">
        <v>177</v>
      </c>
      <c r="O58" s="7" t="s">
        <v>100</v>
      </c>
      <c r="P58" s="7" t="s">
        <v>101</v>
      </c>
      <c r="Q58" s="7">
        <v>2</v>
      </c>
      <c r="R58" s="7" t="s">
        <v>87</v>
      </c>
      <c r="S58" s="7" t="s">
        <v>457</v>
      </c>
    </row>
    <row r="59" spans="1:19" ht="15.75" customHeight="1">
      <c r="A59" s="7" t="s">
        <v>458</v>
      </c>
      <c r="B59" s="7" t="s">
        <v>459</v>
      </c>
      <c r="C59" s="7" t="s">
        <v>273</v>
      </c>
      <c r="D59" s="7" t="s">
        <v>460</v>
      </c>
      <c r="E59" s="7" t="s">
        <v>461</v>
      </c>
      <c r="F59" s="7" t="s">
        <v>143</v>
      </c>
      <c r="G59" s="7" t="s">
        <v>144</v>
      </c>
      <c r="H59" s="8">
        <v>43399</v>
      </c>
      <c r="I59" s="9">
        <v>473310</v>
      </c>
      <c r="J59" s="10">
        <v>4.5999999999999996</v>
      </c>
      <c r="K59" s="7" t="s">
        <v>195</v>
      </c>
      <c r="L59" s="7" t="s">
        <v>113</v>
      </c>
      <c r="M59" s="7" t="s">
        <v>196</v>
      </c>
      <c r="N59" s="7" t="s">
        <v>237</v>
      </c>
      <c r="O59" s="7" t="s">
        <v>100</v>
      </c>
      <c r="P59" s="7" t="s">
        <v>127</v>
      </c>
      <c r="Q59" s="7">
        <v>6.6</v>
      </c>
      <c r="R59" s="7" t="s">
        <v>87</v>
      </c>
      <c r="S59" s="7" t="s">
        <v>462</v>
      </c>
    </row>
    <row r="60" spans="1:19" ht="15.75" customHeight="1">
      <c r="A60" s="7" t="s">
        <v>463</v>
      </c>
      <c r="B60" s="7" t="s">
        <v>330</v>
      </c>
      <c r="C60" s="7" t="s">
        <v>351</v>
      </c>
      <c r="D60" s="7" t="s">
        <v>464</v>
      </c>
      <c r="E60" s="7" t="s">
        <v>465</v>
      </c>
      <c r="F60" s="7" t="s">
        <v>89</v>
      </c>
      <c r="G60" s="7" t="s">
        <v>385</v>
      </c>
      <c r="H60" s="8">
        <v>45110</v>
      </c>
      <c r="I60" s="9">
        <v>1812999</v>
      </c>
      <c r="J60" s="10">
        <v>4.0999999999999996</v>
      </c>
      <c r="K60" s="7" t="s">
        <v>160</v>
      </c>
      <c r="L60" s="7" t="s">
        <v>161</v>
      </c>
      <c r="M60" s="7" t="s">
        <v>162</v>
      </c>
      <c r="N60" s="7" t="s">
        <v>215</v>
      </c>
      <c r="O60" s="7" t="s">
        <v>100</v>
      </c>
      <c r="P60" s="7" t="s">
        <v>115</v>
      </c>
      <c r="Q60" s="7">
        <v>1.9</v>
      </c>
      <c r="R60" s="7" t="s">
        <v>87</v>
      </c>
      <c r="S60" s="7" t="s">
        <v>466</v>
      </c>
    </row>
    <row r="61" spans="1:19" ht="15.75" customHeight="1">
      <c r="A61" s="7" t="s">
        <v>467</v>
      </c>
      <c r="B61" s="7" t="s">
        <v>468</v>
      </c>
      <c r="C61" s="7" t="s">
        <v>191</v>
      </c>
      <c r="D61" s="7" t="s">
        <v>469</v>
      </c>
      <c r="E61" s="7" t="s">
        <v>470</v>
      </c>
      <c r="F61" s="7" t="s">
        <v>169</v>
      </c>
      <c r="G61" s="7" t="s">
        <v>471</v>
      </c>
      <c r="H61" s="8">
        <v>43943</v>
      </c>
      <c r="I61" s="9">
        <v>1595089</v>
      </c>
      <c r="J61" s="10">
        <v>3.6</v>
      </c>
      <c r="K61" s="7" t="s">
        <v>97</v>
      </c>
      <c r="L61" s="7" t="s">
        <v>98</v>
      </c>
      <c r="M61" s="7" t="s">
        <v>99</v>
      </c>
      <c r="N61" s="7" t="s">
        <v>237</v>
      </c>
      <c r="O61" s="7" t="s">
        <v>100</v>
      </c>
      <c r="P61" s="7" t="s">
        <v>339</v>
      </c>
      <c r="Q61" s="7">
        <v>5.0999999999999996</v>
      </c>
      <c r="R61" s="7" t="s">
        <v>138</v>
      </c>
      <c r="S61" s="7" t="s">
        <v>472</v>
      </c>
    </row>
    <row r="62" spans="1:19" ht="15.75" customHeight="1">
      <c r="A62" s="7" t="s">
        <v>473</v>
      </c>
      <c r="B62" s="7" t="s">
        <v>474</v>
      </c>
      <c r="C62" s="7" t="s">
        <v>156</v>
      </c>
      <c r="D62" s="7" t="s">
        <v>475</v>
      </c>
      <c r="E62" s="7" t="s">
        <v>476</v>
      </c>
      <c r="F62" s="7" t="s">
        <v>135</v>
      </c>
      <c r="G62" s="7" t="s">
        <v>136</v>
      </c>
      <c r="H62" s="8">
        <v>44959</v>
      </c>
      <c r="I62" s="9">
        <v>550484</v>
      </c>
      <c r="J62" s="10">
        <v>2.9</v>
      </c>
      <c r="K62" s="7" t="s">
        <v>253</v>
      </c>
      <c r="L62" s="7" t="s">
        <v>254</v>
      </c>
      <c r="M62" s="7" t="s">
        <v>255</v>
      </c>
      <c r="N62" s="7" t="s">
        <v>147</v>
      </c>
      <c r="O62" s="7" t="s">
        <v>100</v>
      </c>
      <c r="P62" s="7" t="s">
        <v>213</v>
      </c>
      <c r="Q62" s="7">
        <v>2.2999999999999998</v>
      </c>
      <c r="R62" s="7" t="s">
        <v>87</v>
      </c>
      <c r="S62" s="7" t="s">
        <v>477</v>
      </c>
    </row>
    <row r="63" spans="1:19" ht="15.75" customHeight="1">
      <c r="A63" s="7" t="s">
        <v>478</v>
      </c>
      <c r="B63" s="7" t="s">
        <v>479</v>
      </c>
      <c r="C63" s="7" t="s">
        <v>120</v>
      </c>
      <c r="D63" s="7" t="s">
        <v>480</v>
      </c>
      <c r="E63" s="7" t="s">
        <v>481</v>
      </c>
      <c r="F63" s="7" t="s">
        <v>79</v>
      </c>
      <c r="G63" s="7" t="s">
        <v>123</v>
      </c>
      <c r="H63" s="8">
        <v>45415</v>
      </c>
      <c r="I63" s="9">
        <v>500886</v>
      </c>
      <c r="J63" s="10">
        <v>2.9</v>
      </c>
      <c r="K63" s="7" t="s">
        <v>482</v>
      </c>
      <c r="L63" s="7" t="s">
        <v>482</v>
      </c>
      <c r="M63" s="7" t="s">
        <v>483</v>
      </c>
      <c r="N63" s="7" t="s">
        <v>140</v>
      </c>
      <c r="O63" s="7" t="s">
        <v>100</v>
      </c>
      <c r="P63" s="7" t="s">
        <v>247</v>
      </c>
      <c r="Q63" s="7">
        <v>1.1000000000000001</v>
      </c>
      <c r="R63" s="7" t="s">
        <v>138</v>
      </c>
      <c r="S63" s="7" t="s">
        <v>484</v>
      </c>
    </row>
    <row r="64" spans="1:19" ht="15.75" customHeight="1">
      <c r="A64" s="7" t="s">
        <v>485</v>
      </c>
      <c r="B64" s="7" t="s">
        <v>486</v>
      </c>
      <c r="C64" s="7" t="s">
        <v>279</v>
      </c>
      <c r="D64" s="7" t="s">
        <v>487</v>
      </c>
      <c r="E64" s="7" t="s">
        <v>488</v>
      </c>
      <c r="F64" s="7" t="s">
        <v>104</v>
      </c>
      <c r="G64" s="7" t="s">
        <v>259</v>
      </c>
      <c r="H64" s="8">
        <v>43201</v>
      </c>
      <c r="I64" s="9">
        <v>383103</v>
      </c>
      <c r="J64" s="10">
        <v>3.9</v>
      </c>
      <c r="K64" s="7" t="s">
        <v>160</v>
      </c>
      <c r="L64" s="7" t="s">
        <v>161</v>
      </c>
      <c r="M64" s="7" t="s">
        <v>162</v>
      </c>
      <c r="N64" s="7" t="s">
        <v>118</v>
      </c>
      <c r="O64" s="7" t="s">
        <v>100</v>
      </c>
      <c r="P64" s="7" t="s">
        <v>206</v>
      </c>
      <c r="Q64" s="7">
        <v>7.1</v>
      </c>
      <c r="R64" s="7" t="s">
        <v>87</v>
      </c>
      <c r="S64" s="7" t="s">
        <v>489</v>
      </c>
    </row>
    <row r="65" spans="1:19" ht="15.75" customHeight="1">
      <c r="A65" s="7" t="s">
        <v>490</v>
      </c>
      <c r="B65" s="7" t="s">
        <v>491</v>
      </c>
      <c r="C65" s="7" t="s">
        <v>107</v>
      </c>
      <c r="D65" s="7" t="s">
        <v>492</v>
      </c>
      <c r="E65" s="7" t="s">
        <v>493</v>
      </c>
      <c r="F65" s="7" t="s">
        <v>104</v>
      </c>
      <c r="G65" s="7" t="s">
        <v>494</v>
      </c>
      <c r="H65" s="8">
        <v>45534</v>
      </c>
      <c r="I65" s="9">
        <v>1875233</v>
      </c>
      <c r="J65" s="10">
        <v>2.2999999999999998</v>
      </c>
      <c r="K65" s="7" t="s">
        <v>81</v>
      </c>
      <c r="L65" s="7" t="s">
        <v>82</v>
      </c>
      <c r="M65" s="7" t="s">
        <v>83</v>
      </c>
      <c r="N65" s="7" t="s">
        <v>199</v>
      </c>
      <c r="O65" s="7" t="s">
        <v>227</v>
      </c>
      <c r="P65" s="7" t="s">
        <v>115</v>
      </c>
      <c r="Q65" s="7">
        <v>0.8</v>
      </c>
      <c r="R65" s="7" t="s">
        <v>138</v>
      </c>
      <c r="S65" s="7" t="s">
        <v>495</v>
      </c>
    </row>
    <row r="66" spans="1:19" ht="15.75" customHeight="1">
      <c r="A66" s="7" t="s">
        <v>496</v>
      </c>
      <c r="B66" s="7" t="s">
        <v>497</v>
      </c>
      <c r="C66" s="7" t="s">
        <v>315</v>
      </c>
      <c r="D66" s="7" t="s">
        <v>498</v>
      </c>
      <c r="E66" s="7" t="s">
        <v>499</v>
      </c>
      <c r="F66" s="7" t="s">
        <v>169</v>
      </c>
      <c r="G66" s="7" t="s">
        <v>471</v>
      </c>
      <c r="H66" s="8">
        <v>42353</v>
      </c>
      <c r="I66" s="9">
        <v>1515061</v>
      </c>
      <c r="J66" s="10">
        <v>2.4</v>
      </c>
      <c r="K66" s="7" t="s">
        <v>500</v>
      </c>
      <c r="L66" s="7"/>
      <c r="M66" s="7"/>
      <c r="N66" s="7" t="s">
        <v>249</v>
      </c>
      <c r="O66" s="7" t="s">
        <v>85</v>
      </c>
      <c r="P66" s="7" t="s">
        <v>206</v>
      </c>
      <c r="Q66" s="7">
        <v>9.5</v>
      </c>
      <c r="R66" s="7" t="s">
        <v>87</v>
      </c>
      <c r="S66" s="7" t="s">
        <v>501</v>
      </c>
    </row>
    <row r="67" spans="1:19" ht="15.75" customHeight="1">
      <c r="A67" s="7" t="s">
        <v>502</v>
      </c>
      <c r="B67" s="7" t="s">
        <v>503</v>
      </c>
      <c r="C67" s="7" t="s">
        <v>149</v>
      </c>
      <c r="D67" s="7" t="s">
        <v>504</v>
      </c>
      <c r="E67" s="7" t="s">
        <v>505</v>
      </c>
      <c r="F67" s="7" t="s">
        <v>89</v>
      </c>
      <c r="G67" s="7" t="s">
        <v>506</v>
      </c>
      <c r="H67" s="8">
        <v>45528</v>
      </c>
      <c r="I67" s="9">
        <v>962415</v>
      </c>
      <c r="J67" s="10">
        <v>2.9</v>
      </c>
      <c r="K67" s="7" t="s">
        <v>81</v>
      </c>
      <c r="L67" s="7" t="s">
        <v>82</v>
      </c>
      <c r="M67" s="7" t="s">
        <v>235</v>
      </c>
      <c r="N67" s="7" t="s">
        <v>249</v>
      </c>
      <c r="O67" s="7" t="s">
        <v>100</v>
      </c>
      <c r="P67" s="7" t="s">
        <v>152</v>
      </c>
      <c r="Q67" s="7">
        <v>0.8</v>
      </c>
      <c r="R67" s="7" t="s">
        <v>138</v>
      </c>
      <c r="S67" s="7" t="s">
        <v>507</v>
      </c>
    </row>
    <row r="68" spans="1:19" ht="15.75" customHeight="1">
      <c r="A68" s="7" t="s">
        <v>508</v>
      </c>
      <c r="B68" s="7" t="s">
        <v>509</v>
      </c>
      <c r="C68" s="7" t="s">
        <v>298</v>
      </c>
      <c r="D68" s="7" t="s">
        <v>510</v>
      </c>
      <c r="E68" s="7" t="s">
        <v>368</v>
      </c>
      <c r="F68" s="7" t="s">
        <v>129</v>
      </c>
      <c r="G68" s="7" t="s">
        <v>219</v>
      </c>
      <c r="H68" s="8">
        <v>42716</v>
      </c>
      <c r="I68" s="9">
        <v>1494701</v>
      </c>
      <c r="J68" s="10">
        <v>2.2000000000000002</v>
      </c>
      <c r="K68" s="7" t="s">
        <v>81</v>
      </c>
      <c r="L68" s="7" t="s">
        <v>82</v>
      </c>
      <c r="M68" s="7" t="s">
        <v>511</v>
      </c>
      <c r="N68" s="7" t="s">
        <v>208</v>
      </c>
      <c r="O68" s="7" t="s">
        <v>227</v>
      </c>
      <c r="P68" s="7" t="s">
        <v>213</v>
      </c>
      <c r="Q68" s="7">
        <v>8.5</v>
      </c>
      <c r="R68" s="7" t="s">
        <v>87</v>
      </c>
      <c r="S68" s="7" t="s">
        <v>512</v>
      </c>
    </row>
    <row r="69" spans="1:19" ht="15.75" customHeight="1">
      <c r="A69" s="7" t="s">
        <v>513</v>
      </c>
      <c r="B69" s="7" t="s">
        <v>514</v>
      </c>
      <c r="C69" s="7" t="s">
        <v>92</v>
      </c>
      <c r="D69" s="7" t="s">
        <v>515</v>
      </c>
      <c r="E69" s="7" t="s">
        <v>516</v>
      </c>
      <c r="F69" s="7" t="s">
        <v>79</v>
      </c>
      <c r="G69" s="7" t="s">
        <v>517</v>
      </c>
      <c r="H69" s="8">
        <v>44884</v>
      </c>
      <c r="I69" s="9">
        <v>969021</v>
      </c>
      <c r="J69" s="10">
        <v>2.2000000000000002</v>
      </c>
      <c r="K69" s="7" t="s">
        <v>195</v>
      </c>
      <c r="L69" s="7" t="s">
        <v>113</v>
      </c>
      <c r="M69" s="7" t="s">
        <v>260</v>
      </c>
      <c r="N69" s="7" t="s">
        <v>164</v>
      </c>
      <c r="O69" s="7" t="s">
        <v>85</v>
      </c>
      <c r="P69" s="7" t="s">
        <v>145</v>
      </c>
      <c r="Q69" s="7">
        <v>2.5</v>
      </c>
      <c r="R69" s="7" t="s">
        <v>87</v>
      </c>
      <c r="S69" s="7" t="s">
        <v>518</v>
      </c>
    </row>
    <row r="70" spans="1:19" ht="15.75" customHeight="1">
      <c r="A70" s="7" t="s">
        <v>519</v>
      </c>
      <c r="B70" s="7" t="s">
        <v>432</v>
      </c>
      <c r="C70" s="7" t="s">
        <v>216</v>
      </c>
      <c r="D70" s="7" t="s">
        <v>520</v>
      </c>
      <c r="E70" s="7" t="s">
        <v>521</v>
      </c>
      <c r="F70" s="7" t="s">
        <v>135</v>
      </c>
      <c r="G70" s="7" t="s">
        <v>252</v>
      </c>
      <c r="H70" s="8">
        <v>43093</v>
      </c>
      <c r="I70" s="9">
        <v>637286</v>
      </c>
      <c r="J70" s="10">
        <v>2.2000000000000002</v>
      </c>
      <c r="K70" s="7" t="s">
        <v>253</v>
      </c>
      <c r="L70" s="7" t="s">
        <v>254</v>
      </c>
      <c r="M70" s="7" t="s">
        <v>255</v>
      </c>
      <c r="N70" s="7" t="s">
        <v>170</v>
      </c>
      <c r="O70" s="7" t="s">
        <v>85</v>
      </c>
      <c r="P70" s="7" t="s">
        <v>213</v>
      </c>
      <c r="Q70" s="7">
        <v>7.4</v>
      </c>
      <c r="R70" s="7" t="s">
        <v>138</v>
      </c>
      <c r="S70" s="7" t="s">
        <v>522</v>
      </c>
    </row>
    <row r="71" spans="1:19" ht="15.75" customHeight="1">
      <c r="A71" s="7" t="s">
        <v>523</v>
      </c>
      <c r="B71" s="7" t="s">
        <v>382</v>
      </c>
      <c r="C71" s="7" t="s">
        <v>244</v>
      </c>
      <c r="D71" s="7" t="s">
        <v>524</v>
      </c>
      <c r="E71" s="7" t="s">
        <v>525</v>
      </c>
      <c r="F71" s="7" t="s">
        <v>89</v>
      </c>
      <c r="G71" s="7" t="s">
        <v>506</v>
      </c>
      <c r="H71" s="8">
        <v>44871</v>
      </c>
      <c r="I71" s="9">
        <v>955515</v>
      </c>
      <c r="J71" s="10">
        <v>4.8</v>
      </c>
      <c r="K71" s="7" t="s">
        <v>204</v>
      </c>
      <c r="L71" s="7" t="s">
        <v>161</v>
      </c>
      <c r="M71" s="7" t="s">
        <v>205</v>
      </c>
      <c r="N71" s="7" t="s">
        <v>237</v>
      </c>
      <c r="O71" s="7" t="s">
        <v>227</v>
      </c>
      <c r="P71" s="7" t="s">
        <v>101</v>
      </c>
      <c r="Q71" s="7">
        <v>2.6</v>
      </c>
      <c r="R71" s="7" t="s">
        <v>87</v>
      </c>
      <c r="S71" s="7" t="s">
        <v>526</v>
      </c>
    </row>
    <row r="72" spans="1:19" ht="15.75" customHeight="1">
      <c r="A72" s="7" t="s">
        <v>527</v>
      </c>
      <c r="B72" s="7" t="s">
        <v>346</v>
      </c>
      <c r="C72" s="7" t="s">
        <v>76</v>
      </c>
      <c r="D72" s="7" t="s">
        <v>528</v>
      </c>
      <c r="E72" s="7" t="s">
        <v>529</v>
      </c>
      <c r="F72" s="7" t="s">
        <v>143</v>
      </c>
      <c r="G72" s="7" t="s">
        <v>323</v>
      </c>
      <c r="H72" s="8">
        <v>43030</v>
      </c>
      <c r="I72" s="9">
        <v>606780</v>
      </c>
      <c r="J72" s="10">
        <v>2.2999999999999998</v>
      </c>
      <c r="K72" s="7" t="s">
        <v>81</v>
      </c>
      <c r="L72" s="7" t="s">
        <v>82</v>
      </c>
      <c r="M72" s="7" t="s">
        <v>511</v>
      </c>
      <c r="N72" s="7" t="s">
        <v>164</v>
      </c>
      <c r="O72" s="7" t="s">
        <v>85</v>
      </c>
      <c r="P72" s="7" t="s">
        <v>247</v>
      </c>
      <c r="Q72" s="7">
        <v>7.6</v>
      </c>
      <c r="R72" s="7" t="s">
        <v>87</v>
      </c>
      <c r="S72" s="7" t="s">
        <v>530</v>
      </c>
    </row>
    <row r="73" spans="1:19" ht="15.75" customHeight="1">
      <c r="A73" s="7" t="s">
        <v>531</v>
      </c>
      <c r="B73" s="7" t="s">
        <v>459</v>
      </c>
      <c r="C73" s="7" t="s">
        <v>179</v>
      </c>
      <c r="D73" s="7" t="s">
        <v>532</v>
      </c>
      <c r="E73" s="7" t="s">
        <v>533</v>
      </c>
      <c r="F73" s="7" t="s">
        <v>89</v>
      </c>
      <c r="G73" s="7" t="s">
        <v>506</v>
      </c>
      <c r="H73" s="8">
        <v>42748</v>
      </c>
      <c r="I73" s="9">
        <v>964264</v>
      </c>
      <c r="J73" s="10">
        <v>3.9</v>
      </c>
      <c r="K73" s="7" t="s">
        <v>160</v>
      </c>
      <c r="L73" s="7" t="s">
        <v>161</v>
      </c>
      <c r="M73" s="7" t="s">
        <v>162</v>
      </c>
      <c r="N73" s="7" t="s">
        <v>105</v>
      </c>
      <c r="O73" s="7" t="s">
        <v>227</v>
      </c>
      <c r="P73" s="7" t="s">
        <v>339</v>
      </c>
      <c r="Q73" s="7">
        <v>8.4</v>
      </c>
      <c r="R73" s="7" t="s">
        <v>87</v>
      </c>
      <c r="S73" s="7" t="s">
        <v>534</v>
      </c>
    </row>
    <row r="74" spans="1:19" ht="15.75" customHeight="1">
      <c r="A74" s="7" t="s">
        <v>535</v>
      </c>
      <c r="B74" s="7" t="s">
        <v>292</v>
      </c>
      <c r="C74" s="7" t="s">
        <v>244</v>
      </c>
      <c r="D74" s="7" t="s">
        <v>326</v>
      </c>
      <c r="E74" s="7" t="s">
        <v>327</v>
      </c>
      <c r="F74" s="7" t="s">
        <v>129</v>
      </c>
      <c r="G74" s="7" t="s">
        <v>435</v>
      </c>
      <c r="H74" s="8">
        <v>43691</v>
      </c>
      <c r="I74" s="9">
        <v>629884</v>
      </c>
      <c r="J74" s="10">
        <v>2.9</v>
      </c>
      <c r="K74" s="7" t="s">
        <v>124</v>
      </c>
      <c r="L74" s="7" t="s">
        <v>125</v>
      </c>
      <c r="M74" s="7" t="s">
        <v>126</v>
      </c>
      <c r="N74" s="7" t="s">
        <v>237</v>
      </c>
      <c r="O74" s="7" t="s">
        <v>100</v>
      </c>
      <c r="P74" s="7" t="s">
        <v>101</v>
      </c>
      <c r="Q74" s="7">
        <v>5.8</v>
      </c>
      <c r="R74" s="7" t="s">
        <v>87</v>
      </c>
      <c r="S74" s="7" t="s">
        <v>536</v>
      </c>
    </row>
    <row r="75" spans="1:19" ht="15.75" customHeight="1">
      <c r="A75" s="7" t="s">
        <v>537</v>
      </c>
      <c r="B75" s="7" t="s">
        <v>230</v>
      </c>
      <c r="C75" s="7" t="s">
        <v>244</v>
      </c>
      <c r="D75" s="7" t="s">
        <v>538</v>
      </c>
      <c r="E75" s="7" t="s">
        <v>539</v>
      </c>
      <c r="F75" s="7" t="s">
        <v>110</v>
      </c>
      <c r="G75" s="7" t="s">
        <v>540</v>
      </c>
      <c r="H75" s="8">
        <v>45383</v>
      </c>
      <c r="I75" s="9">
        <v>500301</v>
      </c>
      <c r="J75" s="10">
        <v>4</v>
      </c>
      <c r="K75" s="7" t="s">
        <v>267</v>
      </c>
      <c r="L75" s="7" t="s">
        <v>268</v>
      </c>
      <c r="M75" s="7" t="s">
        <v>269</v>
      </c>
      <c r="N75" s="7" t="s">
        <v>208</v>
      </c>
      <c r="O75" s="7" t="s">
        <v>100</v>
      </c>
      <c r="P75" s="7" t="s">
        <v>152</v>
      </c>
      <c r="Q75" s="7">
        <v>1.2</v>
      </c>
      <c r="R75" s="7" t="s">
        <v>87</v>
      </c>
      <c r="S75" s="7" t="s">
        <v>541</v>
      </c>
    </row>
    <row r="76" spans="1:19" ht="15.75" customHeight="1">
      <c r="A76" s="7" t="s">
        <v>542</v>
      </c>
      <c r="B76" s="7" t="s">
        <v>543</v>
      </c>
      <c r="C76" s="7" t="s">
        <v>293</v>
      </c>
      <c r="D76" s="7" t="s">
        <v>544</v>
      </c>
      <c r="E76" s="7" t="s">
        <v>545</v>
      </c>
      <c r="F76" s="7" t="s">
        <v>89</v>
      </c>
      <c r="G76" s="7" t="s">
        <v>546</v>
      </c>
      <c r="H76" s="8">
        <v>42838</v>
      </c>
      <c r="I76" s="9">
        <v>720007</v>
      </c>
      <c r="J76" s="10">
        <v>3.6</v>
      </c>
      <c r="K76" s="7" t="s">
        <v>547</v>
      </c>
      <c r="L76" s="7"/>
      <c r="M76" s="7"/>
      <c r="N76" s="7" t="s">
        <v>215</v>
      </c>
      <c r="O76" s="7" t="s">
        <v>227</v>
      </c>
      <c r="P76" s="7" t="s">
        <v>115</v>
      </c>
      <c r="Q76" s="7">
        <v>8.1</v>
      </c>
      <c r="R76" s="7" t="s">
        <v>138</v>
      </c>
      <c r="S76" s="7" t="s">
        <v>548</v>
      </c>
    </row>
    <row r="77" spans="1:19" ht="15.75" customHeight="1">
      <c r="A77" s="7" t="s">
        <v>549</v>
      </c>
      <c r="B77" s="7" t="s">
        <v>468</v>
      </c>
      <c r="C77" s="7" t="s">
        <v>357</v>
      </c>
      <c r="D77" s="7" t="s">
        <v>550</v>
      </c>
      <c r="E77" s="7" t="s">
        <v>551</v>
      </c>
      <c r="F77" s="7" t="s">
        <v>129</v>
      </c>
      <c r="G77" s="7" t="s">
        <v>435</v>
      </c>
      <c r="H77" s="8">
        <v>44261</v>
      </c>
      <c r="I77" s="9">
        <v>503584</v>
      </c>
      <c r="J77" s="10">
        <v>3.7</v>
      </c>
      <c r="K77" s="7" t="s">
        <v>81</v>
      </c>
      <c r="L77" s="7" t="s">
        <v>82</v>
      </c>
      <c r="M77" s="7" t="s">
        <v>83</v>
      </c>
      <c r="N77" s="7" t="s">
        <v>154</v>
      </c>
      <c r="O77" s="7" t="s">
        <v>100</v>
      </c>
      <c r="P77" s="7" t="s">
        <v>101</v>
      </c>
      <c r="Q77" s="7">
        <v>4.2</v>
      </c>
      <c r="R77" s="7" t="s">
        <v>138</v>
      </c>
      <c r="S77" s="7" t="s">
        <v>552</v>
      </c>
    </row>
    <row r="78" spans="1:19" ht="15.75" customHeight="1">
      <c r="A78" s="7" t="s">
        <v>553</v>
      </c>
      <c r="B78" s="7" t="s">
        <v>459</v>
      </c>
      <c r="C78" s="7" t="s">
        <v>357</v>
      </c>
      <c r="D78" s="7" t="s">
        <v>554</v>
      </c>
      <c r="E78" s="7" t="s">
        <v>555</v>
      </c>
      <c r="F78" s="7" t="s">
        <v>79</v>
      </c>
      <c r="G78" s="7" t="s">
        <v>182</v>
      </c>
      <c r="H78" s="8">
        <v>44894</v>
      </c>
      <c r="I78" s="9">
        <v>421676</v>
      </c>
      <c r="J78" s="10">
        <v>3.2</v>
      </c>
      <c r="K78" s="7" t="s">
        <v>160</v>
      </c>
      <c r="L78" s="7" t="s">
        <v>161</v>
      </c>
      <c r="M78" s="7" t="s">
        <v>162</v>
      </c>
      <c r="N78" s="7" t="s">
        <v>222</v>
      </c>
      <c r="O78" s="7" t="s">
        <v>100</v>
      </c>
      <c r="P78" s="7" t="s">
        <v>101</v>
      </c>
      <c r="Q78" s="7">
        <v>2.5</v>
      </c>
      <c r="R78" s="7" t="s">
        <v>87</v>
      </c>
      <c r="S78" s="7" t="s">
        <v>556</v>
      </c>
    </row>
    <row r="79" spans="1:19" ht="15.75" customHeight="1">
      <c r="A79" s="7" t="s">
        <v>557</v>
      </c>
      <c r="B79" s="7" t="s">
        <v>558</v>
      </c>
      <c r="C79" s="7" t="s">
        <v>120</v>
      </c>
      <c r="D79" s="7" t="s">
        <v>559</v>
      </c>
      <c r="E79" s="7" t="s">
        <v>560</v>
      </c>
      <c r="F79" s="7" t="s">
        <v>95</v>
      </c>
      <c r="G79" s="7" t="s">
        <v>561</v>
      </c>
      <c r="H79" s="8">
        <v>45544</v>
      </c>
      <c r="I79" s="9">
        <v>968300</v>
      </c>
      <c r="J79" s="10">
        <v>2.8</v>
      </c>
      <c r="K79" s="7" t="s">
        <v>97</v>
      </c>
      <c r="L79" s="7" t="s">
        <v>98</v>
      </c>
      <c r="M79" s="7" t="s">
        <v>99</v>
      </c>
      <c r="N79" s="7" t="s">
        <v>177</v>
      </c>
      <c r="O79" s="7" t="s">
        <v>186</v>
      </c>
      <c r="P79" s="7" t="s">
        <v>187</v>
      </c>
      <c r="Q79" s="7">
        <v>0.7</v>
      </c>
      <c r="R79" s="7" t="s">
        <v>138</v>
      </c>
      <c r="S79" s="7" t="s">
        <v>562</v>
      </c>
    </row>
    <row r="80" spans="1:19" ht="15.75" customHeight="1">
      <c r="A80" s="7" t="s">
        <v>563</v>
      </c>
      <c r="B80" s="7" t="s">
        <v>330</v>
      </c>
      <c r="C80" s="7" t="s">
        <v>191</v>
      </c>
      <c r="D80" s="7" t="s">
        <v>564</v>
      </c>
      <c r="E80" s="7" t="s">
        <v>565</v>
      </c>
      <c r="F80" s="7" t="s">
        <v>169</v>
      </c>
      <c r="G80" s="7" t="s">
        <v>234</v>
      </c>
      <c r="H80" s="8">
        <v>44708</v>
      </c>
      <c r="I80" s="9">
        <v>778356</v>
      </c>
      <c r="J80" s="10">
        <v>4.5999999999999996</v>
      </c>
      <c r="K80" s="7" t="s">
        <v>267</v>
      </c>
      <c r="L80" s="7" t="s">
        <v>268</v>
      </c>
      <c r="M80" s="7" t="s">
        <v>269</v>
      </c>
      <c r="N80" s="7" t="s">
        <v>237</v>
      </c>
      <c r="O80" s="7" t="s">
        <v>227</v>
      </c>
      <c r="P80" s="7" t="s">
        <v>339</v>
      </c>
      <c r="Q80" s="7">
        <v>3</v>
      </c>
      <c r="R80" s="7" t="s">
        <v>87</v>
      </c>
      <c r="S80" s="7" t="s">
        <v>566</v>
      </c>
    </row>
    <row r="81" spans="1:19" ht="15.75" customHeight="1">
      <c r="A81" s="7" t="s">
        <v>567</v>
      </c>
      <c r="B81" s="7" t="s">
        <v>503</v>
      </c>
      <c r="C81" s="7" t="s">
        <v>149</v>
      </c>
      <c r="D81" s="7" t="s">
        <v>504</v>
      </c>
      <c r="E81" s="7" t="s">
        <v>505</v>
      </c>
      <c r="F81" s="7" t="s">
        <v>143</v>
      </c>
      <c r="G81" s="7" t="s">
        <v>568</v>
      </c>
      <c r="H81" s="8">
        <v>44861</v>
      </c>
      <c r="I81" s="9">
        <v>1412601</v>
      </c>
      <c r="J81" s="10">
        <v>3.7</v>
      </c>
      <c r="K81" s="7" t="s">
        <v>195</v>
      </c>
      <c r="L81" s="7" t="s">
        <v>113</v>
      </c>
      <c r="M81" s="7" t="s">
        <v>260</v>
      </c>
      <c r="N81" s="7" t="s">
        <v>208</v>
      </c>
      <c r="O81" s="7" t="s">
        <v>100</v>
      </c>
      <c r="P81" s="7" t="s">
        <v>339</v>
      </c>
      <c r="Q81" s="7">
        <v>2.6</v>
      </c>
      <c r="R81" s="7" t="s">
        <v>138</v>
      </c>
      <c r="S81" s="7" t="s">
        <v>569</v>
      </c>
    </row>
    <row r="82" spans="1:19" ht="15.75" customHeight="1">
      <c r="A82" s="7" t="s">
        <v>570</v>
      </c>
      <c r="B82" s="7" t="s">
        <v>503</v>
      </c>
      <c r="C82" s="7" t="s">
        <v>305</v>
      </c>
      <c r="D82" s="7" t="s">
        <v>571</v>
      </c>
      <c r="E82" s="7" t="s">
        <v>572</v>
      </c>
      <c r="F82" s="7" t="s">
        <v>129</v>
      </c>
      <c r="G82" s="7" t="s">
        <v>429</v>
      </c>
      <c r="H82" s="8">
        <v>42156</v>
      </c>
      <c r="I82" s="9">
        <v>983094</v>
      </c>
      <c r="J82" s="10">
        <v>3.5</v>
      </c>
      <c r="K82" s="7" t="s">
        <v>112</v>
      </c>
      <c r="L82" s="7" t="s">
        <v>113</v>
      </c>
      <c r="M82" s="7" t="s">
        <v>114</v>
      </c>
      <c r="N82" s="7" t="s">
        <v>118</v>
      </c>
      <c r="O82" s="7" t="s">
        <v>227</v>
      </c>
      <c r="P82" s="7" t="s">
        <v>115</v>
      </c>
      <c r="Q82" s="7">
        <v>10</v>
      </c>
      <c r="R82" s="7" t="s">
        <v>138</v>
      </c>
      <c r="S82" s="7" t="s">
        <v>573</v>
      </c>
    </row>
    <row r="83" spans="1:19" ht="15.75" customHeight="1">
      <c r="A83" s="7" t="s">
        <v>574</v>
      </c>
      <c r="B83" s="7" t="s">
        <v>330</v>
      </c>
      <c r="C83" s="7" t="s">
        <v>315</v>
      </c>
      <c r="D83" s="7" t="s">
        <v>575</v>
      </c>
      <c r="E83" s="7" t="s">
        <v>576</v>
      </c>
      <c r="F83" s="7" t="s">
        <v>110</v>
      </c>
      <c r="G83" s="7" t="s">
        <v>194</v>
      </c>
      <c r="H83" s="8">
        <v>42311</v>
      </c>
      <c r="I83" s="9">
        <v>873074</v>
      </c>
      <c r="J83" s="10">
        <v>4.3</v>
      </c>
      <c r="K83" s="7" t="s">
        <v>195</v>
      </c>
      <c r="L83" s="7" t="s">
        <v>113</v>
      </c>
      <c r="M83" s="7" t="s">
        <v>196</v>
      </c>
      <c r="N83" s="7" t="s">
        <v>177</v>
      </c>
      <c r="O83" s="7" t="s">
        <v>85</v>
      </c>
      <c r="P83" s="7" t="s">
        <v>213</v>
      </c>
      <c r="Q83" s="7">
        <v>9.6</v>
      </c>
      <c r="R83" s="7" t="s">
        <v>87</v>
      </c>
      <c r="S83" s="7" t="s">
        <v>577</v>
      </c>
    </row>
    <row r="84" spans="1:19" ht="15.75" customHeight="1">
      <c r="A84" s="7" t="s">
        <v>578</v>
      </c>
      <c r="B84" s="7" t="s">
        <v>230</v>
      </c>
      <c r="C84" s="7" t="s">
        <v>305</v>
      </c>
      <c r="D84" s="7" t="s">
        <v>579</v>
      </c>
      <c r="E84" s="7" t="s">
        <v>580</v>
      </c>
      <c r="F84" s="7" t="s">
        <v>95</v>
      </c>
      <c r="G84" s="7" t="s">
        <v>581</v>
      </c>
      <c r="H84" s="8">
        <v>43302</v>
      </c>
      <c r="I84" s="9">
        <v>977912</v>
      </c>
      <c r="J84" s="10">
        <v>4.5999999999999996</v>
      </c>
      <c r="K84" s="7" t="s">
        <v>81</v>
      </c>
      <c r="L84" s="7" t="s">
        <v>82</v>
      </c>
      <c r="M84" s="7" t="s">
        <v>235</v>
      </c>
      <c r="N84" s="7" t="s">
        <v>249</v>
      </c>
      <c r="O84" s="7" t="s">
        <v>100</v>
      </c>
      <c r="P84" s="7" t="s">
        <v>152</v>
      </c>
      <c r="Q84" s="7">
        <v>6.9</v>
      </c>
      <c r="R84" s="7" t="s">
        <v>87</v>
      </c>
      <c r="S84" s="7" t="s">
        <v>582</v>
      </c>
    </row>
    <row r="85" spans="1:19" ht="15.75" customHeight="1">
      <c r="A85" s="7" t="s">
        <v>583</v>
      </c>
      <c r="B85" s="7" t="s">
        <v>165</v>
      </c>
      <c r="C85" s="7" t="s">
        <v>76</v>
      </c>
      <c r="D85" s="7" t="s">
        <v>166</v>
      </c>
      <c r="E85" s="7" t="s">
        <v>167</v>
      </c>
      <c r="F85" s="7" t="s">
        <v>117</v>
      </c>
      <c r="G85" s="7" t="s">
        <v>379</v>
      </c>
      <c r="H85" s="8">
        <v>42408</v>
      </c>
      <c r="I85" s="9">
        <v>426347</v>
      </c>
      <c r="J85" s="10">
        <v>3.3</v>
      </c>
      <c r="K85" s="7" t="s">
        <v>112</v>
      </c>
      <c r="L85" s="7" t="s">
        <v>113</v>
      </c>
      <c r="M85" s="7" t="s">
        <v>301</v>
      </c>
      <c r="N85" s="7" t="s">
        <v>74</v>
      </c>
      <c r="O85" s="7" t="s">
        <v>100</v>
      </c>
      <c r="P85" s="7" t="s">
        <v>339</v>
      </c>
      <c r="Q85" s="7">
        <v>9.3000000000000007</v>
      </c>
      <c r="R85" s="7" t="s">
        <v>87</v>
      </c>
      <c r="S85" s="7" t="s">
        <v>584</v>
      </c>
    </row>
    <row r="86" spans="1:19" ht="15.75" customHeight="1">
      <c r="A86" s="7" t="s">
        <v>585</v>
      </c>
      <c r="B86" s="7" t="s">
        <v>119</v>
      </c>
      <c r="C86" s="7" t="s">
        <v>210</v>
      </c>
      <c r="D86" s="7" t="s">
        <v>586</v>
      </c>
      <c r="E86" s="7" t="s">
        <v>587</v>
      </c>
      <c r="F86" s="7" t="s">
        <v>110</v>
      </c>
      <c r="G86" s="7" t="s">
        <v>194</v>
      </c>
      <c r="H86" s="8">
        <v>43005</v>
      </c>
      <c r="I86" s="9">
        <v>889242</v>
      </c>
      <c r="J86" s="10">
        <v>3.2</v>
      </c>
      <c r="K86" s="7" t="s">
        <v>220</v>
      </c>
      <c r="L86" s="7"/>
      <c r="M86" s="7"/>
      <c r="N86" s="7" t="s">
        <v>140</v>
      </c>
      <c r="O86" s="7" t="s">
        <v>100</v>
      </c>
      <c r="P86" s="7" t="s">
        <v>115</v>
      </c>
      <c r="Q86" s="7">
        <v>7.7</v>
      </c>
      <c r="R86" s="7" t="s">
        <v>87</v>
      </c>
      <c r="S86" s="7" t="s">
        <v>588</v>
      </c>
    </row>
    <row r="87" spans="1:19" ht="15.75" customHeight="1">
      <c r="A87" s="7" t="s">
        <v>589</v>
      </c>
      <c r="B87" s="7" t="s">
        <v>468</v>
      </c>
      <c r="C87" s="7" t="s">
        <v>371</v>
      </c>
      <c r="D87" s="7" t="s">
        <v>590</v>
      </c>
      <c r="E87" s="7" t="s">
        <v>591</v>
      </c>
      <c r="F87" s="7" t="s">
        <v>169</v>
      </c>
      <c r="G87" s="7" t="s">
        <v>203</v>
      </c>
      <c r="H87" s="8">
        <v>42956</v>
      </c>
      <c r="I87" s="9">
        <v>1070887</v>
      </c>
      <c r="J87" s="10">
        <v>3.9</v>
      </c>
      <c r="K87" s="7" t="s">
        <v>267</v>
      </c>
      <c r="L87" s="7" t="s">
        <v>268</v>
      </c>
      <c r="M87" s="7" t="s">
        <v>269</v>
      </c>
      <c r="N87" s="7" t="s">
        <v>164</v>
      </c>
      <c r="O87" s="7" t="s">
        <v>100</v>
      </c>
      <c r="P87" s="7" t="s">
        <v>101</v>
      </c>
      <c r="Q87" s="7">
        <v>7.8</v>
      </c>
      <c r="R87" s="7" t="s">
        <v>138</v>
      </c>
      <c r="S87" s="7" t="s">
        <v>592</v>
      </c>
    </row>
    <row r="88" spans="1:19" ht="15.75" customHeight="1">
      <c r="A88" s="7" t="s">
        <v>593</v>
      </c>
      <c r="B88" s="7" t="s">
        <v>278</v>
      </c>
      <c r="C88" s="7" t="s">
        <v>298</v>
      </c>
      <c r="D88" s="7" t="s">
        <v>594</v>
      </c>
      <c r="E88" s="7" t="s">
        <v>595</v>
      </c>
      <c r="F88" s="7" t="s">
        <v>89</v>
      </c>
      <c r="G88" s="7" t="s">
        <v>506</v>
      </c>
      <c r="H88" s="8">
        <v>44411</v>
      </c>
      <c r="I88" s="9">
        <v>928421</v>
      </c>
      <c r="J88" s="10">
        <v>3.9</v>
      </c>
      <c r="K88" s="7" t="s">
        <v>97</v>
      </c>
      <c r="L88" s="7" t="s">
        <v>98</v>
      </c>
      <c r="M88" s="7" t="s">
        <v>99</v>
      </c>
      <c r="N88" s="7" t="s">
        <v>164</v>
      </c>
      <c r="O88" s="7" t="s">
        <v>227</v>
      </c>
      <c r="P88" s="7" t="s">
        <v>187</v>
      </c>
      <c r="Q88" s="7">
        <v>3.8</v>
      </c>
      <c r="R88" s="7" t="s">
        <v>138</v>
      </c>
      <c r="S88" s="7" t="s">
        <v>596</v>
      </c>
    </row>
    <row r="89" spans="1:19" ht="15.75" customHeight="1">
      <c r="A89" s="7" t="s">
        <v>597</v>
      </c>
      <c r="B89" s="7" t="s">
        <v>432</v>
      </c>
      <c r="C89" s="7" t="s">
        <v>92</v>
      </c>
      <c r="D89" s="7" t="s">
        <v>598</v>
      </c>
      <c r="E89" s="7" t="s">
        <v>599</v>
      </c>
      <c r="F89" s="7" t="s">
        <v>110</v>
      </c>
      <c r="G89" s="7" t="s">
        <v>540</v>
      </c>
      <c r="H89" s="8">
        <v>43475</v>
      </c>
      <c r="I89" s="9">
        <v>577561</v>
      </c>
      <c r="J89" s="10">
        <v>5</v>
      </c>
      <c r="K89" s="7" t="s">
        <v>112</v>
      </c>
      <c r="L89" s="7" t="s">
        <v>113</v>
      </c>
      <c r="M89" s="7" t="s">
        <v>301</v>
      </c>
      <c r="N89" s="7" t="s">
        <v>74</v>
      </c>
      <c r="O89" s="7" t="s">
        <v>100</v>
      </c>
      <c r="P89" s="7" t="s">
        <v>187</v>
      </c>
      <c r="Q89" s="7">
        <v>6.4</v>
      </c>
      <c r="R89" s="7" t="s">
        <v>138</v>
      </c>
      <c r="S89" s="7" t="s">
        <v>600</v>
      </c>
    </row>
    <row r="90" spans="1:19" ht="15.75" customHeight="1">
      <c r="A90" s="7" t="s">
        <v>601</v>
      </c>
      <c r="B90" s="7" t="s">
        <v>602</v>
      </c>
      <c r="C90" s="7" t="s">
        <v>76</v>
      </c>
      <c r="D90" s="7" t="s">
        <v>603</v>
      </c>
      <c r="E90" s="7" t="s">
        <v>604</v>
      </c>
      <c r="F90" s="7" t="s">
        <v>89</v>
      </c>
      <c r="G90" s="7" t="s">
        <v>506</v>
      </c>
      <c r="H90" s="8">
        <v>45182</v>
      </c>
      <c r="I90" s="9">
        <v>910324</v>
      </c>
      <c r="J90" s="10">
        <v>3.8</v>
      </c>
      <c r="K90" s="7" t="s">
        <v>482</v>
      </c>
      <c r="L90" s="7" t="s">
        <v>482</v>
      </c>
      <c r="M90" s="7" t="s">
        <v>483</v>
      </c>
      <c r="N90" s="7" t="s">
        <v>154</v>
      </c>
      <c r="O90" s="7" t="s">
        <v>100</v>
      </c>
      <c r="P90" s="7" t="s">
        <v>206</v>
      </c>
      <c r="Q90" s="7">
        <v>1.7</v>
      </c>
      <c r="R90" s="7" t="s">
        <v>87</v>
      </c>
      <c r="S90" s="7" t="s">
        <v>605</v>
      </c>
    </row>
    <row r="91" spans="1:19" ht="15.75" customHeight="1">
      <c r="A91" s="7" t="s">
        <v>606</v>
      </c>
      <c r="B91" s="7" t="s">
        <v>200</v>
      </c>
      <c r="C91" s="7" t="s">
        <v>244</v>
      </c>
      <c r="D91" s="7" t="s">
        <v>607</v>
      </c>
      <c r="E91" s="7" t="s">
        <v>608</v>
      </c>
      <c r="F91" s="7" t="s">
        <v>104</v>
      </c>
      <c r="G91" s="7" t="s">
        <v>494</v>
      </c>
      <c r="H91" s="8">
        <v>45235</v>
      </c>
      <c r="I91" s="9">
        <v>1865559</v>
      </c>
      <c r="J91" s="10">
        <v>2.1</v>
      </c>
      <c r="K91" s="7" t="s">
        <v>482</v>
      </c>
      <c r="L91" s="7" t="s">
        <v>482</v>
      </c>
      <c r="M91" s="7" t="s">
        <v>483</v>
      </c>
      <c r="N91" s="7" t="s">
        <v>130</v>
      </c>
      <c r="O91" s="7" t="s">
        <v>100</v>
      </c>
      <c r="P91" s="7" t="s">
        <v>187</v>
      </c>
      <c r="Q91" s="7">
        <v>1.6</v>
      </c>
      <c r="R91" s="7" t="s">
        <v>87</v>
      </c>
      <c r="S91" s="7" t="s">
        <v>609</v>
      </c>
    </row>
    <row r="92" spans="1:19" ht="15.75" customHeight="1">
      <c r="A92" s="7" t="s">
        <v>610</v>
      </c>
      <c r="B92" s="7" t="s">
        <v>278</v>
      </c>
      <c r="C92" s="7" t="s">
        <v>273</v>
      </c>
      <c r="D92" s="7" t="s">
        <v>611</v>
      </c>
      <c r="E92" s="7" t="s">
        <v>612</v>
      </c>
      <c r="F92" s="7" t="s">
        <v>129</v>
      </c>
      <c r="G92" s="7" t="s">
        <v>613</v>
      </c>
      <c r="H92" s="8">
        <v>45594</v>
      </c>
      <c r="I92" s="9">
        <v>465907</v>
      </c>
      <c r="J92" s="10">
        <v>3.6</v>
      </c>
      <c r="K92" s="7" t="s">
        <v>195</v>
      </c>
      <c r="L92" s="7" t="s">
        <v>113</v>
      </c>
      <c r="M92" s="7" t="s">
        <v>196</v>
      </c>
      <c r="N92" s="7" t="s">
        <v>140</v>
      </c>
      <c r="O92" s="7" t="s">
        <v>100</v>
      </c>
      <c r="P92" s="7" t="s">
        <v>101</v>
      </c>
      <c r="Q92" s="7">
        <v>0.6</v>
      </c>
      <c r="R92" s="7" t="s">
        <v>138</v>
      </c>
      <c r="S92" s="7" t="s">
        <v>614</v>
      </c>
    </row>
    <row r="93" spans="1:19" ht="15.75" customHeight="1">
      <c r="A93" s="7" t="s">
        <v>615</v>
      </c>
      <c r="B93" s="7" t="s">
        <v>209</v>
      </c>
      <c r="C93" s="7" t="s">
        <v>149</v>
      </c>
      <c r="D93" s="7" t="s">
        <v>616</v>
      </c>
      <c r="E93" s="7" t="s">
        <v>617</v>
      </c>
      <c r="F93" s="7" t="s">
        <v>117</v>
      </c>
      <c r="G93" s="7" t="s">
        <v>159</v>
      </c>
      <c r="H93" s="8">
        <v>45094</v>
      </c>
      <c r="I93" s="9">
        <v>909143</v>
      </c>
      <c r="J93" s="10">
        <v>4.5999999999999996</v>
      </c>
      <c r="K93" s="7" t="s">
        <v>124</v>
      </c>
      <c r="L93" s="7" t="s">
        <v>125</v>
      </c>
      <c r="M93" s="7" t="s">
        <v>126</v>
      </c>
      <c r="N93" s="7" t="s">
        <v>237</v>
      </c>
      <c r="O93" s="7" t="s">
        <v>100</v>
      </c>
      <c r="P93" s="7" t="s">
        <v>115</v>
      </c>
      <c r="Q93" s="7">
        <v>2</v>
      </c>
      <c r="R93" s="7" t="s">
        <v>87</v>
      </c>
      <c r="S93" s="7" t="s">
        <v>618</v>
      </c>
    </row>
    <row r="94" spans="1:19" ht="15.75" customHeight="1">
      <c r="A94" s="7" t="s">
        <v>619</v>
      </c>
      <c r="B94" s="7" t="s">
        <v>486</v>
      </c>
      <c r="C94" s="7" t="s">
        <v>216</v>
      </c>
      <c r="D94" s="7" t="s">
        <v>620</v>
      </c>
      <c r="E94" s="7" t="s">
        <v>621</v>
      </c>
      <c r="F94" s="7" t="s">
        <v>117</v>
      </c>
      <c r="G94" s="7" t="s">
        <v>379</v>
      </c>
      <c r="H94" s="8">
        <v>43514</v>
      </c>
      <c r="I94" s="9">
        <v>468724</v>
      </c>
      <c r="J94" s="10">
        <v>3.8</v>
      </c>
      <c r="K94" s="7" t="s">
        <v>482</v>
      </c>
      <c r="L94" s="7" t="s">
        <v>482</v>
      </c>
      <c r="M94" s="7" t="s">
        <v>483</v>
      </c>
      <c r="N94" s="7" t="s">
        <v>118</v>
      </c>
      <c r="O94" s="7" t="s">
        <v>100</v>
      </c>
      <c r="P94" s="7" t="s">
        <v>101</v>
      </c>
      <c r="Q94" s="7">
        <v>6.3</v>
      </c>
      <c r="R94" s="7" t="s">
        <v>87</v>
      </c>
      <c r="S94" s="7" t="s">
        <v>622</v>
      </c>
    </row>
    <row r="95" spans="1:19" ht="15.75" customHeight="1">
      <c r="A95" s="7" t="s">
        <v>623</v>
      </c>
      <c r="B95" s="7" t="s">
        <v>491</v>
      </c>
      <c r="C95" s="7" t="s">
        <v>120</v>
      </c>
      <c r="D95" s="7" t="s">
        <v>624</v>
      </c>
      <c r="E95" s="7" t="s">
        <v>625</v>
      </c>
      <c r="F95" s="7" t="s">
        <v>135</v>
      </c>
      <c r="G95" s="7" t="s">
        <v>136</v>
      </c>
      <c r="H95" s="8">
        <v>44607</v>
      </c>
      <c r="I95" s="9">
        <v>621704</v>
      </c>
      <c r="J95" s="10">
        <v>4.7</v>
      </c>
      <c r="K95" s="7" t="s">
        <v>112</v>
      </c>
      <c r="L95" s="7" t="s">
        <v>113</v>
      </c>
      <c r="M95" s="7" t="s">
        <v>301</v>
      </c>
      <c r="N95" s="7" t="s">
        <v>208</v>
      </c>
      <c r="O95" s="7" t="s">
        <v>100</v>
      </c>
      <c r="P95" s="7" t="s">
        <v>197</v>
      </c>
      <c r="Q95" s="7">
        <v>3.3</v>
      </c>
      <c r="R95" s="7" t="s">
        <v>138</v>
      </c>
      <c r="S95" s="7" t="s">
        <v>626</v>
      </c>
    </row>
    <row r="96" spans="1:19" ht="15.75" customHeight="1">
      <c r="A96" s="7" t="s">
        <v>627</v>
      </c>
      <c r="B96" s="7" t="s">
        <v>459</v>
      </c>
      <c r="C96" s="7" t="s">
        <v>244</v>
      </c>
      <c r="D96" s="7" t="s">
        <v>628</v>
      </c>
      <c r="E96" s="7" t="s">
        <v>629</v>
      </c>
      <c r="F96" s="7" t="s">
        <v>117</v>
      </c>
      <c r="G96" s="7" t="s">
        <v>159</v>
      </c>
      <c r="H96" s="8">
        <v>45639</v>
      </c>
      <c r="I96" s="9">
        <v>990914</v>
      </c>
      <c r="J96" s="10">
        <v>2.4</v>
      </c>
      <c r="K96" s="7" t="s">
        <v>630</v>
      </c>
      <c r="L96" s="7"/>
      <c r="M96" s="7"/>
      <c r="N96" s="7" t="s">
        <v>189</v>
      </c>
      <c r="O96" s="7" t="s">
        <v>186</v>
      </c>
      <c r="P96" s="7" t="s">
        <v>86</v>
      </c>
      <c r="Q96" s="7">
        <v>0.5</v>
      </c>
      <c r="R96" s="7" t="s">
        <v>87</v>
      </c>
      <c r="S96" s="7" t="s">
        <v>631</v>
      </c>
    </row>
    <row r="97" spans="1:19" ht="15.75" customHeight="1">
      <c r="A97" s="7" t="s">
        <v>632</v>
      </c>
      <c r="B97" s="7" t="s">
        <v>346</v>
      </c>
      <c r="C97" s="7" t="s">
        <v>293</v>
      </c>
      <c r="D97" s="7" t="s">
        <v>633</v>
      </c>
      <c r="E97" s="7" t="s">
        <v>634</v>
      </c>
      <c r="F97" s="7" t="s">
        <v>117</v>
      </c>
      <c r="G97" s="7" t="s">
        <v>379</v>
      </c>
      <c r="H97" s="8">
        <v>44526</v>
      </c>
      <c r="I97" s="9">
        <v>506985</v>
      </c>
      <c r="J97" s="10">
        <v>4.8</v>
      </c>
      <c r="K97" s="7" t="s">
        <v>195</v>
      </c>
      <c r="L97" s="7" t="s">
        <v>113</v>
      </c>
      <c r="M97" s="7" t="s">
        <v>196</v>
      </c>
      <c r="N97" s="7" t="s">
        <v>90</v>
      </c>
      <c r="O97" s="7" t="s">
        <v>100</v>
      </c>
      <c r="P97" s="7" t="s">
        <v>152</v>
      </c>
      <c r="Q97" s="7">
        <v>3.5</v>
      </c>
      <c r="R97" s="7" t="s">
        <v>87</v>
      </c>
      <c r="S97" s="7" t="s">
        <v>635</v>
      </c>
    </row>
    <row r="98" spans="1:19" ht="15.75" customHeight="1">
      <c r="A98" s="7" t="s">
        <v>636</v>
      </c>
      <c r="B98" s="7" t="s">
        <v>119</v>
      </c>
      <c r="C98" s="7" t="s">
        <v>244</v>
      </c>
      <c r="D98" s="7" t="s">
        <v>637</v>
      </c>
      <c r="E98" s="7" t="s">
        <v>638</v>
      </c>
      <c r="F98" s="7" t="s">
        <v>143</v>
      </c>
      <c r="G98" s="7" t="s">
        <v>323</v>
      </c>
      <c r="H98" s="8">
        <v>44646</v>
      </c>
      <c r="I98" s="9">
        <v>694024</v>
      </c>
      <c r="J98" s="10">
        <v>2.2000000000000002</v>
      </c>
      <c r="K98" s="7" t="s">
        <v>195</v>
      </c>
      <c r="L98" s="7" t="s">
        <v>113</v>
      </c>
      <c r="M98" s="7" t="s">
        <v>196</v>
      </c>
      <c r="N98" s="7" t="s">
        <v>147</v>
      </c>
      <c r="O98" s="7" t="s">
        <v>100</v>
      </c>
      <c r="P98" s="7" t="s">
        <v>101</v>
      </c>
      <c r="Q98" s="7">
        <v>3.2</v>
      </c>
      <c r="R98" s="7" t="s">
        <v>87</v>
      </c>
      <c r="S98" s="7" t="s">
        <v>639</v>
      </c>
    </row>
    <row r="99" spans="1:19" ht="15.75" customHeight="1">
      <c r="A99" s="7" t="s">
        <v>640</v>
      </c>
      <c r="B99" s="7" t="s">
        <v>200</v>
      </c>
      <c r="C99" s="7" t="s">
        <v>293</v>
      </c>
      <c r="D99" s="7" t="s">
        <v>641</v>
      </c>
      <c r="E99" s="7" t="s">
        <v>642</v>
      </c>
      <c r="F99" s="7" t="s">
        <v>169</v>
      </c>
      <c r="G99" s="7" t="s">
        <v>288</v>
      </c>
      <c r="H99" s="8">
        <v>42212</v>
      </c>
      <c r="I99" s="9">
        <v>637427</v>
      </c>
      <c r="J99" s="10">
        <v>2.7</v>
      </c>
      <c r="K99" s="7" t="s">
        <v>183</v>
      </c>
      <c r="L99" s="7" t="s">
        <v>184</v>
      </c>
      <c r="M99" s="7" t="s">
        <v>308</v>
      </c>
      <c r="N99" s="7" t="s">
        <v>243</v>
      </c>
      <c r="O99" s="7" t="s">
        <v>100</v>
      </c>
      <c r="P99" s="7" t="s">
        <v>115</v>
      </c>
      <c r="Q99" s="7">
        <v>9.8000000000000007</v>
      </c>
      <c r="R99" s="7" t="s">
        <v>87</v>
      </c>
      <c r="S99" s="7" t="s">
        <v>643</v>
      </c>
    </row>
    <row r="100" spans="1:19" ht="15.75" customHeight="1">
      <c r="A100" s="7" t="s">
        <v>644</v>
      </c>
      <c r="B100" s="7" t="s">
        <v>223</v>
      </c>
      <c r="C100" s="7" t="s">
        <v>132</v>
      </c>
      <c r="D100" s="7" t="s">
        <v>645</v>
      </c>
      <c r="E100" s="7" t="s">
        <v>646</v>
      </c>
      <c r="F100" s="7" t="s">
        <v>135</v>
      </c>
      <c r="G100" s="7" t="s">
        <v>252</v>
      </c>
      <c r="H100" s="8">
        <v>43350</v>
      </c>
      <c r="I100" s="9">
        <v>638680</v>
      </c>
      <c r="J100" s="10">
        <v>4.4000000000000004</v>
      </c>
      <c r="K100" s="7" t="s">
        <v>81</v>
      </c>
      <c r="L100" s="7" t="s">
        <v>82</v>
      </c>
      <c r="M100" s="7" t="s">
        <v>511</v>
      </c>
      <c r="N100" s="7" t="s">
        <v>164</v>
      </c>
      <c r="O100" s="7" t="s">
        <v>100</v>
      </c>
      <c r="P100" s="7" t="s">
        <v>197</v>
      </c>
      <c r="Q100" s="7">
        <v>6.7</v>
      </c>
      <c r="R100" s="7" t="s">
        <v>138</v>
      </c>
      <c r="S100" s="7" t="s">
        <v>647</v>
      </c>
    </row>
    <row r="101" spans="1:19" ht="15.75" customHeight="1">
      <c r="A101" s="7" t="s">
        <v>648</v>
      </c>
      <c r="B101" s="7" t="s">
        <v>649</v>
      </c>
      <c r="C101" s="7" t="s">
        <v>305</v>
      </c>
      <c r="D101" s="7" t="s">
        <v>650</v>
      </c>
      <c r="E101" s="7" t="s">
        <v>651</v>
      </c>
      <c r="F101" s="7" t="s">
        <v>104</v>
      </c>
      <c r="G101" s="7" t="s">
        <v>652</v>
      </c>
      <c r="H101" s="8">
        <v>42065</v>
      </c>
      <c r="I101" s="9">
        <v>1243911</v>
      </c>
      <c r="J101" s="10">
        <v>4.4000000000000004</v>
      </c>
      <c r="K101" s="7" t="s">
        <v>195</v>
      </c>
      <c r="L101" s="7" t="s">
        <v>113</v>
      </c>
      <c r="M101" s="7" t="s">
        <v>260</v>
      </c>
      <c r="N101" s="7" t="s">
        <v>243</v>
      </c>
      <c r="O101" s="7" t="s">
        <v>100</v>
      </c>
      <c r="P101" s="7" t="s">
        <v>247</v>
      </c>
      <c r="Q101" s="7">
        <v>10.3</v>
      </c>
      <c r="R101" s="7" t="s">
        <v>87</v>
      </c>
      <c r="S101" s="7" t="s">
        <v>653</v>
      </c>
    </row>
    <row r="102" spans="1:19" ht="15.75" customHeight="1">
      <c r="A102" s="7" t="s">
        <v>654</v>
      </c>
      <c r="B102" s="7" t="s">
        <v>497</v>
      </c>
      <c r="C102" s="7" t="s">
        <v>76</v>
      </c>
      <c r="D102" s="7" t="s">
        <v>655</v>
      </c>
      <c r="E102" s="7" t="s">
        <v>656</v>
      </c>
      <c r="F102" s="7" t="s">
        <v>110</v>
      </c>
      <c r="G102" s="7" t="s">
        <v>540</v>
      </c>
      <c r="H102" s="8">
        <v>42470</v>
      </c>
      <c r="I102" s="9">
        <v>516661</v>
      </c>
      <c r="J102" s="10">
        <v>3.4</v>
      </c>
      <c r="K102" s="7" t="s">
        <v>482</v>
      </c>
      <c r="L102" s="7" t="s">
        <v>482</v>
      </c>
      <c r="M102" s="7" t="s">
        <v>483</v>
      </c>
      <c r="N102" s="7" t="s">
        <v>229</v>
      </c>
      <c r="O102" s="7" t="s">
        <v>85</v>
      </c>
      <c r="P102" s="7" t="s">
        <v>115</v>
      </c>
      <c r="Q102" s="7">
        <v>9.1</v>
      </c>
      <c r="R102" s="7" t="s">
        <v>87</v>
      </c>
      <c r="S102" s="7" t="s">
        <v>657</v>
      </c>
    </row>
    <row r="103" spans="1:19" ht="15.75" customHeight="1">
      <c r="A103" s="7" t="s">
        <v>658</v>
      </c>
      <c r="B103" s="7" t="s">
        <v>659</v>
      </c>
      <c r="C103" s="7" t="s">
        <v>279</v>
      </c>
      <c r="D103" s="7" t="s">
        <v>660</v>
      </c>
      <c r="E103" s="7" t="s">
        <v>661</v>
      </c>
      <c r="F103" s="7" t="s">
        <v>95</v>
      </c>
      <c r="G103" s="7" t="s">
        <v>451</v>
      </c>
      <c r="H103" s="8">
        <v>43881</v>
      </c>
      <c r="I103" s="9">
        <v>1558165</v>
      </c>
      <c r="J103" s="10">
        <v>2.2000000000000002</v>
      </c>
      <c r="K103" s="7" t="s">
        <v>160</v>
      </c>
      <c r="L103" s="7" t="s">
        <v>161</v>
      </c>
      <c r="M103" s="7" t="s">
        <v>162</v>
      </c>
      <c r="N103" s="7" t="s">
        <v>199</v>
      </c>
      <c r="O103" s="7" t="s">
        <v>100</v>
      </c>
      <c r="P103" s="7" t="s">
        <v>145</v>
      </c>
      <c r="Q103" s="7">
        <v>5.3</v>
      </c>
      <c r="R103" s="7" t="s">
        <v>87</v>
      </c>
      <c r="S103" s="7" t="s">
        <v>662</v>
      </c>
    </row>
    <row r="104" spans="1:19" ht="15.75" customHeight="1">
      <c r="A104" s="7" t="s">
        <v>663</v>
      </c>
      <c r="B104" s="7" t="s">
        <v>171</v>
      </c>
      <c r="C104" s="7" t="s">
        <v>298</v>
      </c>
      <c r="D104" s="7" t="s">
        <v>664</v>
      </c>
      <c r="E104" s="7" t="s">
        <v>665</v>
      </c>
      <c r="F104" s="7" t="s">
        <v>143</v>
      </c>
      <c r="G104" s="7" t="s">
        <v>323</v>
      </c>
      <c r="H104" s="8">
        <v>42612</v>
      </c>
      <c r="I104" s="9">
        <v>617218</v>
      </c>
      <c r="J104" s="10">
        <v>2.4</v>
      </c>
      <c r="K104" s="7" t="s">
        <v>112</v>
      </c>
      <c r="L104" s="7" t="s">
        <v>113</v>
      </c>
      <c r="M104" s="7" t="s">
        <v>114</v>
      </c>
      <c r="N104" s="7" t="s">
        <v>199</v>
      </c>
      <c r="O104" s="7" t="s">
        <v>85</v>
      </c>
      <c r="P104" s="7" t="s">
        <v>127</v>
      </c>
      <c r="Q104" s="7">
        <v>8.8000000000000007</v>
      </c>
      <c r="R104" s="7" t="s">
        <v>138</v>
      </c>
      <c r="S104" s="7" t="s">
        <v>666</v>
      </c>
    </row>
    <row r="105" spans="1:19" ht="15.75" customHeight="1">
      <c r="A105" s="7" t="s">
        <v>667</v>
      </c>
      <c r="B105" s="7" t="s">
        <v>285</v>
      </c>
      <c r="C105" s="7" t="s">
        <v>351</v>
      </c>
      <c r="D105" s="7" t="s">
        <v>668</v>
      </c>
      <c r="E105" s="7" t="s">
        <v>669</v>
      </c>
      <c r="F105" s="7" t="s">
        <v>117</v>
      </c>
      <c r="G105" s="7" t="s">
        <v>670</v>
      </c>
      <c r="H105" s="8">
        <v>45498</v>
      </c>
      <c r="I105" s="9">
        <v>694529</v>
      </c>
      <c r="J105" s="10">
        <v>4.2</v>
      </c>
      <c r="K105" s="7" t="s">
        <v>253</v>
      </c>
      <c r="L105" s="7" t="s">
        <v>254</v>
      </c>
      <c r="M105" s="7" t="s">
        <v>374</v>
      </c>
      <c r="N105" s="7" t="s">
        <v>208</v>
      </c>
      <c r="O105" s="7" t="s">
        <v>227</v>
      </c>
      <c r="P105" s="7" t="s">
        <v>152</v>
      </c>
      <c r="Q105" s="7">
        <v>0.9</v>
      </c>
      <c r="R105" s="7" t="s">
        <v>138</v>
      </c>
      <c r="S105" s="7" t="s">
        <v>671</v>
      </c>
    </row>
    <row r="106" spans="1:19" ht="15.75" customHeight="1">
      <c r="A106" s="7" t="s">
        <v>672</v>
      </c>
      <c r="B106" s="7" t="s">
        <v>503</v>
      </c>
      <c r="C106" s="7" t="s">
        <v>351</v>
      </c>
      <c r="D106" s="7" t="s">
        <v>673</v>
      </c>
      <c r="E106" s="7" t="s">
        <v>674</v>
      </c>
      <c r="F106" s="7" t="s">
        <v>117</v>
      </c>
      <c r="G106" s="7" t="s">
        <v>354</v>
      </c>
      <c r="H106" s="8">
        <v>43753</v>
      </c>
      <c r="I106" s="9">
        <v>1531926</v>
      </c>
      <c r="J106" s="10">
        <v>4</v>
      </c>
      <c r="K106" s="7" t="s">
        <v>675</v>
      </c>
      <c r="L106" s="7"/>
      <c r="M106" s="7"/>
      <c r="N106" s="7" t="s">
        <v>130</v>
      </c>
      <c r="O106" s="7" t="s">
        <v>227</v>
      </c>
      <c r="P106" s="7" t="s">
        <v>115</v>
      </c>
      <c r="Q106" s="7">
        <v>5.6</v>
      </c>
      <c r="R106" s="7" t="s">
        <v>138</v>
      </c>
      <c r="S106" s="7" t="s">
        <v>676</v>
      </c>
    </row>
    <row r="107" spans="1:19" ht="15.75" customHeight="1">
      <c r="A107" s="7" t="s">
        <v>677</v>
      </c>
      <c r="B107" s="7" t="s">
        <v>454</v>
      </c>
      <c r="C107" s="7" t="s">
        <v>351</v>
      </c>
      <c r="D107" s="7" t="s">
        <v>678</v>
      </c>
      <c r="E107" s="7" t="s">
        <v>679</v>
      </c>
      <c r="F107" s="7" t="s">
        <v>117</v>
      </c>
      <c r="G107" s="7" t="s">
        <v>354</v>
      </c>
      <c r="H107" s="8">
        <v>45330</v>
      </c>
      <c r="I107" s="9">
        <v>1484108</v>
      </c>
      <c r="J107" s="10">
        <v>3.7</v>
      </c>
      <c r="K107" s="7" t="s">
        <v>112</v>
      </c>
      <c r="L107" s="7" t="s">
        <v>113</v>
      </c>
      <c r="M107" s="7" t="s">
        <v>114</v>
      </c>
      <c r="N107" s="7" t="s">
        <v>118</v>
      </c>
      <c r="O107" s="7" t="s">
        <v>100</v>
      </c>
      <c r="P107" s="7" t="s">
        <v>339</v>
      </c>
      <c r="Q107" s="7">
        <v>1.3</v>
      </c>
      <c r="R107" s="7" t="s">
        <v>87</v>
      </c>
      <c r="S107" s="7" t="s">
        <v>680</v>
      </c>
    </row>
    <row r="108" spans="1:19" ht="15.75" customHeight="1">
      <c r="A108" s="7" t="s">
        <v>681</v>
      </c>
      <c r="B108" s="7" t="s">
        <v>263</v>
      </c>
      <c r="C108" s="7" t="s">
        <v>191</v>
      </c>
      <c r="D108" s="7" t="s">
        <v>682</v>
      </c>
      <c r="E108" s="7" t="s">
        <v>683</v>
      </c>
      <c r="F108" s="7" t="s">
        <v>169</v>
      </c>
      <c r="G108" s="7" t="s">
        <v>471</v>
      </c>
      <c r="H108" s="8">
        <v>43445</v>
      </c>
      <c r="I108" s="9">
        <v>1477158</v>
      </c>
      <c r="J108" s="10">
        <v>3.7</v>
      </c>
      <c r="K108" s="7" t="s">
        <v>253</v>
      </c>
      <c r="L108" s="7" t="s">
        <v>254</v>
      </c>
      <c r="M108" s="7" t="s">
        <v>374</v>
      </c>
      <c r="N108" s="7" t="s">
        <v>130</v>
      </c>
      <c r="O108" s="7" t="s">
        <v>227</v>
      </c>
      <c r="P108" s="7" t="s">
        <v>152</v>
      </c>
      <c r="Q108" s="7">
        <v>6.5</v>
      </c>
      <c r="R108" s="7" t="s">
        <v>138</v>
      </c>
      <c r="S108" s="7" t="s">
        <v>684</v>
      </c>
    </row>
    <row r="109" spans="1:19" ht="15.75" customHeight="1">
      <c r="A109" s="7" t="s">
        <v>685</v>
      </c>
      <c r="B109" s="7" t="s">
        <v>320</v>
      </c>
      <c r="C109" s="7" t="s">
        <v>210</v>
      </c>
      <c r="D109" s="7" t="s">
        <v>686</v>
      </c>
      <c r="E109" s="7" t="s">
        <v>687</v>
      </c>
      <c r="F109" s="7" t="s">
        <v>117</v>
      </c>
      <c r="G109" s="7" t="s">
        <v>354</v>
      </c>
      <c r="H109" s="8">
        <v>44356</v>
      </c>
      <c r="I109" s="9">
        <v>1509286</v>
      </c>
      <c r="J109" s="10">
        <v>4.4000000000000004</v>
      </c>
      <c r="K109" s="7" t="s">
        <v>81</v>
      </c>
      <c r="L109" s="7" t="s">
        <v>82</v>
      </c>
      <c r="M109" s="7" t="s">
        <v>511</v>
      </c>
      <c r="N109" s="7" t="s">
        <v>249</v>
      </c>
      <c r="O109" s="7" t="s">
        <v>100</v>
      </c>
      <c r="P109" s="7" t="s">
        <v>247</v>
      </c>
      <c r="Q109" s="7">
        <v>4</v>
      </c>
      <c r="R109" s="7" t="s">
        <v>87</v>
      </c>
      <c r="S109" s="7" t="s">
        <v>688</v>
      </c>
    </row>
    <row r="110" spans="1:19" ht="15.75" customHeight="1">
      <c r="A110" s="7" t="s">
        <v>689</v>
      </c>
      <c r="B110" s="7" t="s">
        <v>230</v>
      </c>
      <c r="C110" s="7" t="s">
        <v>210</v>
      </c>
      <c r="D110" s="7" t="s">
        <v>690</v>
      </c>
      <c r="E110" s="7" t="s">
        <v>691</v>
      </c>
      <c r="F110" s="7" t="s">
        <v>104</v>
      </c>
      <c r="G110" s="7" t="s">
        <v>652</v>
      </c>
      <c r="H110" s="8">
        <v>45567</v>
      </c>
      <c r="I110" s="9">
        <v>1187552</v>
      </c>
      <c r="J110" s="10">
        <v>3.7</v>
      </c>
      <c r="K110" s="7" t="s">
        <v>124</v>
      </c>
      <c r="L110" s="7" t="s">
        <v>125</v>
      </c>
      <c r="M110" s="7" t="s">
        <v>126</v>
      </c>
      <c r="N110" s="7" t="s">
        <v>105</v>
      </c>
      <c r="O110" s="7" t="s">
        <v>100</v>
      </c>
      <c r="P110" s="7" t="s">
        <v>213</v>
      </c>
      <c r="Q110" s="7">
        <v>0.7</v>
      </c>
      <c r="R110" s="7" t="s">
        <v>87</v>
      </c>
      <c r="S110" s="7" t="s">
        <v>692</v>
      </c>
    </row>
    <row r="111" spans="1:19" ht="15.75" customHeight="1">
      <c r="A111" s="7" t="s">
        <v>693</v>
      </c>
      <c r="B111" s="7" t="s">
        <v>694</v>
      </c>
      <c r="C111" s="7" t="s">
        <v>179</v>
      </c>
      <c r="D111" s="7" t="s">
        <v>695</v>
      </c>
      <c r="E111" s="7" t="s">
        <v>696</v>
      </c>
      <c r="F111" s="7" t="s">
        <v>135</v>
      </c>
      <c r="G111" s="7" t="s">
        <v>420</v>
      </c>
      <c r="H111" s="8">
        <v>43724</v>
      </c>
      <c r="I111" s="9">
        <v>1268920</v>
      </c>
      <c r="J111" s="10">
        <v>3</v>
      </c>
      <c r="K111" s="7" t="s">
        <v>482</v>
      </c>
      <c r="L111" s="7" t="s">
        <v>482</v>
      </c>
      <c r="M111" s="7" t="s">
        <v>483</v>
      </c>
      <c r="N111" s="7" t="s">
        <v>170</v>
      </c>
      <c r="O111" s="7" t="s">
        <v>100</v>
      </c>
      <c r="P111" s="7" t="s">
        <v>206</v>
      </c>
      <c r="Q111" s="7">
        <v>5.7</v>
      </c>
      <c r="R111" s="7" t="s">
        <v>87</v>
      </c>
      <c r="S111" s="7" t="s">
        <v>697</v>
      </c>
    </row>
    <row r="112" spans="1:19" ht="15.75" customHeight="1">
      <c r="A112" s="7" t="s">
        <v>698</v>
      </c>
      <c r="B112" s="7" t="s">
        <v>497</v>
      </c>
      <c r="C112" s="7" t="s">
        <v>107</v>
      </c>
      <c r="D112" s="7" t="s">
        <v>699</v>
      </c>
      <c r="E112" s="7" t="s">
        <v>700</v>
      </c>
      <c r="F112" s="7" t="s">
        <v>169</v>
      </c>
      <c r="G112" s="7" t="s">
        <v>288</v>
      </c>
      <c r="H112" s="8">
        <v>44765</v>
      </c>
      <c r="I112" s="9">
        <v>571386</v>
      </c>
      <c r="J112" s="10">
        <v>2.8</v>
      </c>
      <c r="K112" s="7" t="s">
        <v>97</v>
      </c>
      <c r="L112" s="7" t="s">
        <v>98</v>
      </c>
      <c r="M112" s="7" t="s">
        <v>99</v>
      </c>
      <c r="N112" s="7" t="s">
        <v>222</v>
      </c>
      <c r="O112" s="7" t="s">
        <v>85</v>
      </c>
      <c r="P112" s="7" t="s">
        <v>101</v>
      </c>
      <c r="Q112" s="7">
        <v>2.9</v>
      </c>
      <c r="R112" s="7" t="s">
        <v>87</v>
      </c>
      <c r="S112" s="7" t="s">
        <v>701</v>
      </c>
    </row>
    <row r="113" spans="1:19" ht="15.75" customHeight="1">
      <c r="A113" s="7" t="s">
        <v>702</v>
      </c>
      <c r="B113" s="7" t="s">
        <v>106</v>
      </c>
      <c r="C113" s="7" t="s">
        <v>179</v>
      </c>
      <c r="D113" s="7" t="s">
        <v>703</v>
      </c>
      <c r="E113" s="7" t="s">
        <v>704</v>
      </c>
      <c r="F113" s="7" t="s">
        <v>117</v>
      </c>
      <c r="G113" s="7" t="s">
        <v>354</v>
      </c>
      <c r="H113" s="8">
        <v>43765</v>
      </c>
      <c r="I113" s="9">
        <v>1479069</v>
      </c>
      <c r="J113" s="10">
        <v>2.8</v>
      </c>
      <c r="K113" s="7" t="s">
        <v>160</v>
      </c>
      <c r="L113" s="7" t="s">
        <v>161</v>
      </c>
      <c r="M113" s="7" t="s">
        <v>162</v>
      </c>
      <c r="N113" s="7" t="s">
        <v>229</v>
      </c>
      <c r="O113" s="7" t="s">
        <v>100</v>
      </c>
      <c r="P113" s="7" t="s">
        <v>247</v>
      </c>
      <c r="Q113" s="7">
        <v>5.6</v>
      </c>
      <c r="R113" s="7" t="s">
        <v>87</v>
      </c>
      <c r="S113" s="7" t="s">
        <v>705</v>
      </c>
    </row>
    <row r="114" spans="1:19" ht="15.75" customHeight="1">
      <c r="A114" s="7" t="s">
        <v>706</v>
      </c>
      <c r="B114" s="7" t="s">
        <v>263</v>
      </c>
      <c r="C114" s="7" t="s">
        <v>231</v>
      </c>
      <c r="D114" s="7" t="s">
        <v>707</v>
      </c>
      <c r="E114" s="7" t="s">
        <v>708</v>
      </c>
      <c r="F114" s="7" t="s">
        <v>135</v>
      </c>
      <c r="G114" s="7" t="s">
        <v>226</v>
      </c>
      <c r="H114" s="8">
        <v>42870</v>
      </c>
      <c r="I114" s="9">
        <v>735975</v>
      </c>
      <c r="J114" s="10">
        <v>4.3</v>
      </c>
      <c r="K114" s="7" t="s">
        <v>112</v>
      </c>
      <c r="L114" s="7" t="s">
        <v>113</v>
      </c>
      <c r="M114" s="7" t="s">
        <v>301</v>
      </c>
      <c r="N114" s="7" t="s">
        <v>177</v>
      </c>
      <c r="O114" s="7" t="s">
        <v>100</v>
      </c>
      <c r="P114" s="7" t="s">
        <v>247</v>
      </c>
      <c r="Q114" s="7">
        <v>8</v>
      </c>
      <c r="R114" s="7" t="s">
        <v>138</v>
      </c>
      <c r="S114" s="7" t="s">
        <v>709</v>
      </c>
    </row>
    <row r="115" spans="1:19" ht="15.75" customHeight="1">
      <c r="A115" s="7" t="s">
        <v>710</v>
      </c>
      <c r="B115" s="7" t="s">
        <v>278</v>
      </c>
      <c r="C115" s="7" t="s">
        <v>315</v>
      </c>
      <c r="D115" s="7" t="s">
        <v>711</v>
      </c>
      <c r="E115" s="7" t="s">
        <v>712</v>
      </c>
      <c r="F115" s="7" t="s">
        <v>110</v>
      </c>
      <c r="G115" s="7" t="s">
        <v>540</v>
      </c>
      <c r="H115" s="8">
        <v>44887</v>
      </c>
      <c r="I115" s="9">
        <v>560322</v>
      </c>
      <c r="J115" s="10">
        <v>3.5</v>
      </c>
      <c r="K115" s="7" t="s">
        <v>482</v>
      </c>
      <c r="L115" s="7" t="s">
        <v>482</v>
      </c>
      <c r="M115" s="7" t="s">
        <v>483</v>
      </c>
      <c r="N115" s="7" t="s">
        <v>105</v>
      </c>
      <c r="O115" s="7" t="s">
        <v>100</v>
      </c>
      <c r="P115" s="7" t="s">
        <v>213</v>
      </c>
      <c r="Q115" s="7">
        <v>2.5</v>
      </c>
      <c r="R115" s="7" t="s">
        <v>138</v>
      </c>
      <c r="S115" s="7" t="s">
        <v>713</v>
      </c>
    </row>
    <row r="116" spans="1:19" ht="15.75" customHeight="1">
      <c r="A116" s="7" t="s">
        <v>714</v>
      </c>
      <c r="B116" s="7" t="s">
        <v>382</v>
      </c>
      <c r="C116" s="7" t="s">
        <v>298</v>
      </c>
      <c r="D116" s="7" t="s">
        <v>715</v>
      </c>
      <c r="E116" s="7" t="s">
        <v>716</v>
      </c>
      <c r="F116" s="7" t="s">
        <v>143</v>
      </c>
      <c r="G116" s="7" t="s">
        <v>323</v>
      </c>
      <c r="H116" s="8">
        <v>43763</v>
      </c>
      <c r="I116" s="9">
        <v>706017</v>
      </c>
      <c r="J116" s="10">
        <v>4.0999999999999996</v>
      </c>
      <c r="K116" s="7" t="s">
        <v>500</v>
      </c>
      <c r="L116" s="7"/>
      <c r="M116" s="7"/>
      <c r="N116" s="7" t="s">
        <v>170</v>
      </c>
      <c r="O116" s="7" t="s">
        <v>100</v>
      </c>
      <c r="P116" s="7" t="s">
        <v>86</v>
      </c>
      <c r="Q116" s="7">
        <v>5.6</v>
      </c>
      <c r="R116" s="7" t="s">
        <v>87</v>
      </c>
      <c r="S116" s="7" t="s">
        <v>717</v>
      </c>
    </row>
    <row r="117" spans="1:19" ht="15.75" customHeight="1">
      <c r="A117" s="7" t="s">
        <v>718</v>
      </c>
      <c r="B117" s="7" t="s">
        <v>659</v>
      </c>
      <c r="C117" s="7" t="s">
        <v>149</v>
      </c>
      <c r="D117" s="7" t="s">
        <v>719</v>
      </c>
      <c r="E117" s="7" t="s">
        <v>720</v>
      </c>
      <c r="F117" s="7" t="s">
        <v>143</v>
      </c>
      <c r="G117" s="7" t="s">
        <v>444</v>
      </c>
      <c r="H117" s="8">
        <v>43793</v>
      </c>
      <c r="I117" s="9">
        <v>577751</v>
      </c>
      <c r="J117" s="10">
        <v>2.7</v>
      </c>
      <c r="K117" s="7" t="s">
        <v>124</v>
      </c>
      <c r="L117" s="7" t="s">
        <v>125</v>
      </c>
      <c r="M117" s="7" t="s">
        <v>126</v>
      </c>
      <c r="N117" s="7" t="s">
        <v>229</v>
      </c>
      <c r="O117" s="7" t="s">
        <v>100</v>
      </c>
      <c r="P117" s="7" t="s">
        <v>86</v>
      </c>
      <c r="Q117" s="7">
        <v>5.5</v>
      </c>
      <c r="R117" s="7" t="s">
        <v>87</v>
      </c>
      <c r="S117" s="7" t="s">
        <v>721</v>
      </c>
    </row>
    <row r="118" spans="1:19" ht="15.75" customHeight="1">
      <c r="A118" s="7" t="s">
        <v>722</v>
      </c>
      <c r="B118" s="7" t="s">
        <v>165</v>
      </c>
      <c r="C118" s="7" t="s">
        <v>331</v>
      </c>
      <c r="D118" s="7" t="s">
        <v>723</v>
      </c>
      <c r="E118" s="7" t="s">
        <v>724</v>
      </c>
      <c r="F118" s="7" t="s">
        <v>129</v>
      </c>
      <c r="G118" s="7" t="s">
        <v>725</v>
      </c>
      <c r="H118" s="8">
        <v>44095</v>
      </c>
      <c r="I118" s="9">
        <v>479891</v>
      </c>
      <c r="J118" s="10">
        <v>3.6</v>
      </c>
      <c r="K118" s="7" t="s">
        <v>253</v>
      </c>
      <c r="L118" s="7" t="s">
        <v>254</v>
      </c>
      <c r="M118" s="7" t="s">
        <v>374</v>
      </c>
      <c r="N118" s="7" t="s">
        <v>189</v>
      </c>
      <c r="O118" s="7" t="s">
        <v>100</v>
      </c>
      <c r="P118" s="7" t="s">
        <v>213</v>
      </c>
      <c r="Q118" s="7">
        <v>4.7</v>
      </c>
      <c r="R118" s="7" t="s">
        <v>87</v>
      </c>
      <c r="S118" s="7" t="s">
        <v>726</v>
      </c>
    </row>
    <row r="119" spans="1:19" ht="15.75" customHeight="1">
      <c r="A119" s="7" t="s">
        <v>727</v>
      </c>
      <c r="B119" s="7" t="s">
        <v>165</v>
      </c>
      <c r="C119" s="7" t="s">
        <v>244</v>
      </c>
      <c r="D119" s="7" t="s">
        <v>728</v>
      </c>
      <c r="E119" s="7" t="s">
        <v>729</v>
      </c>
      <c r="F119" s="7" t="s">
        <v>129</v>
      </c>
      <c r="G119" s="7" t="s">
        <v>435</v>
      </c>
      <c r="H119" s="8">
        <v>42813</v>
      </c>
      <c r="I119" s="9">
        <v>545481</v>
      </c>
      <c r="J119" s="10">
        <v>3.8</v>
      </c>
      <c r="K119" s="7" t="s">
        <v>81</v>
      </c>
      <c r="L119" s="7" t="s">
        <v>82</v>
      </c>
      <c r="M119" s="7" t="s">
        <v>83</v>
      </c>
      <c r="N119" s="7" t="s">
        <v>140</v>
      </c>
      <c r="O119" s="7" t="s">
        <v>227</v>
      </c>
      <c r="P119" s="7" t="s">
        <v>101</v>
      </c>
      <c r="Q119" s="7">
        <v>8.1999999999999993</v>
      </c>
      <c r="R119" s="7" t="s">
        <v>87</v>
      </c>
      <c r="S119" s="7" t="s">
        <v>730</v>
      </c>
    </row>
    <row r="120" spans="1:19" ht="15.75" customHeight="1">
      <c r="A120" s="7" t="s">
        <v>731</v>
      </c>
      <c r="B120" s="7" t="s">
        <v>178</v>
      </c>
      <c r="C120" s="7" t="s">
        <v>305</v>
      </c>
      <c r="D120" s="7" t="s">
        <v>732</v>
      </c>
      <c r="E120" s="7" t="s">
        <v>733</v>
      </c>
      <c r="F120" s="7" t="s">
        <v>169</v>
      </c>
      <c r="G120" s="7" t="s">
        <v>234</v>
      </c>
      <c r="H120" s="8">
        <v>43328</v>
      </c>
      <c r="I120" s="9">
        <v>732873</v>
      </c>
      <c r="J120" s="10">
        <v>2.5</v>
      </c>
      <c r="K120" s="7" t="s">
        <v>81</v>
      </c>
      <c r="L120" s="7" t="s">
        <v>82</v>
      </c>
      <c r="M120" s="7" t="s">
        <v>83</v>
      </c>
      <c r="N120" s="7" t="s">
        <v>222</v>
      </c>
      <c r="O120" s="7" t="s">
        <v>227</v>
      </c>
      <c r="P120" s="7" t="s">
        <v>145</v>
      </c>
      <c r="Q120" s="7">
        <v>6.8</v>
      </c>
      <c r="R120" s="7" t="s">
        <v>138</v>
      </c>
      <c r="S120" s="7" t="s">
        <v>734</v>
      </c>
    </row>
    <row r="121" spans="1:19" ht="15.75" customHeight="1">
      <c r="A121" s="7" t="s">
        <v>735</v>
      </c>
      <c r="B121" s="7" t="s">
        <v>736</v>
      </c>
      <c r="C121" s="7" t="s">
        <v>279</v>
      </c>
      <c r="D121" s="7" t="s">
        <v>737</v>
      </c>
      <c r="E121" s="7" t="s">
        <v>738</v>
      </c>
      <c r="F121" s="7" t="s">
        <v>143</v>
      </c>
      <c r="G121" s="7" t="s">
        <v>323</v>
      </c>
      <c r="H121" s="8">
        <v>42308</v>
      </c>
      <c r="I121" s="9">
        <v>681371</v>
      </c>
      <c r="J121" s="10">
        <v>3.4</v>
      </c>
      <c r="K121" s="7" t="s">
        <v>81</v>
      </c>
      <c r="L121" s="7" t="s">
        <v>82</v>
      </c>
      <c r="M121" s="7" t="s">
        <v>235</v>
      </c>
      <c r="N121" s="7" t="s">
        <v>90</v>
      </c>
      <c r="O121" s="7" t="s">
        <v>100</v>
      </c>
      <c r="P121" s="7" t="s">
        <v>187</v>
      </c>
      <c r="Q121" s="7">
        <v>9.6</v>
      </c>
      <c r="R121" s="7" t="s">
        <v>87</v>
      </c>
      <c r="S121" s="7" t="s">
        <v>739</v>
      </c>
    </row>
    <row r="122" spans="1:19" ht="15.75" customHeight="1">
      <c r="A122" s="7" t="s">
        <v>740</v>
      </c>
      <c r="B122" s="7" t="s">
        <v>659</v>
      </c>
      <c r="C122" s="7" t="s">
        <v>120</v>
      </c>
      <c r="D122" s="7" t="s">
        <v>741</v>
      </c>
      <c r="E122" s="7" t="s">
        <v>742</v>
      </c>
      <c r="F122" s="7" t="s">
        <v>95</v>
      </c>
      <c r="G122" s="7" t="s">
        <v>581</v>
      </c>
      <c r="H122" s="8">
        <v>43900</v>
      </c>
      <c r="I122" s="9">
        <v>995310</v>
      </c>
      <c r="J122" s="10">
        <v>4.9000000000000004</v>
      </c>
      <c r="K122" s="7" t="s">
        <v>81</v>
      </c>
      <c r="L122" s="7" t="s">
        <v>82</v>
      </c>
      <c r="M122" s="7" t="s">
        <v>235</v>
      </c>
      <c r="N122" s="7" t="s">
        <v>215</v>
      </c>
      <c r="O122" s="7" t="s">
        <v>85</v>
      </c>
      <c r="P122" s="7" t="s">
        <v>145</v>
      </c>
      <c r="Q122" s="7">
        <v>5.2</v>
      </c>
      <c r="R122" s="7" t="s">
        <v>87</v>
      </c>
      <c r="S122" s="7" t="s">
        <v>743</v>
      </c>
    </row>
    <row r="123" spans="1:19" ht="15.75" customHeight="1">
      <c r="A123" s="7" t="s">
        <v>744</v>
      </c>
      <c r="B123" s="7" t="s">
        <v>543</v>
      </c>
      <c r="C123" s="7" t="s">
        <v>179</v>
      </c>
      <c r="D123" s="7" t="s">
        <v>745</v>
      </c>
      <c r="E123" s="7" t="s">
        <v>746</v>
      </c>
      <c r="F123" s="7" t="s">
        <v>129</v>
      </c>
      <c r="G123" s="7" t="s">
        <v>725</v>
      </c>
      <c r="H123" s="8">
        <v>43850</v>
      </c>
      <c r="I123" s="9">
        <v>477132</v>
      </c>
      <c r="J123" s="10">
        <v>4.4000000000000004</v>
      </c>
      <c r="K123" s="7" t="s">
        <v>112</v>
      </c>
      <c r="L123" s="7" t="s">
        <v>113</v>
      </c>
      <c r="M123" s="7" t="s">
        <v>114</v>
      </c>
      <c r="N123" s="7" t="s">
        <v>105</v>
      </c>
      <c r="O123" s="7" t="s">
        <v>186</v>
      </c>
      <c r="P123" s="7" t="s">
        <v>145</v>
      </c>
      <c r="Q123" s="7">
        <v>5.4</v>
      </c>
      <c r="R123" s="7" t="s">
        <v>138</v>
      </c>
      <c r="S123" s="7" t="s">
        <v>747</v>
      </c>
    </row>
    <row r="124" spans="1:19" ht="15.75" customHeight="1">
      <c r="A124" s="7" t="s">
        <v>748</v>
      </c>
      <c r="B124" s="7" t="s">
        <v>398</v>
      </c>
      <c r="C124" s="7" t="s">
        <v>149</v>
      </c>
      <c r="D124" s="7" t="s">
        <v>749</v>
      </c>
      <c r="E124" s="7" t="s">
        <v>750</v>
      </c>
      <c r="F124" s="7" t="s">
        <v>89</v>
      </c>
      <c r="G124" s="7" t="s">
        <v>385</v>
      </c>
      <c r="H124" s="8">
        <v>44146</v>
      </c>
      <c r="I124" s="9">
        <v>1791614</v>
      </c>
      <c r="J124" s="10">
        <v>3.1</v>
      </c>
      <c r="K124" s="7" t="s">
        <v>112</v>
      </c>
      <c r="L124" s="7" t="s">
        <v>113</v>
      </c>
      <c r="M124" s="7" t="s">
        <v>301</v>
      </c>
      <c r="N124" s="7" t="s">
        <v>199</v>
      </c>
      <c r="O124" s="7" t="s">
        <v>100</v>
      </c>
      <c r="P124" s="7" t="s">
        <v>339</v>
      </c>
      <c r="Q124" s="7">
        <v>4.5999999999999996</v>
      </c>
      <c r="R124" s="7" t="s">
        <v>87</v>
      </c>
      <c r="S124" s="7" t="s">
        <v>751</v>
      </c>
    </row>
    <row r="125" spans="1:19" ht="15.75" customHeight="1">
      <c r="A125" s="7" t="s">
        <v>752</v>
      </c>
      <c r="B125" s="7" t="s">
        <v>200</v>
      </c>
      <c r="C125" s="7" t="s">
        <v>293</v>
      </c>
      <c r="D125" s="7" t="s">
        <v>641</v>
      </c>
      <c r="E125" s="7" t="s">
        <v>642</v>
      </c>
      <c r="F125" s="7" t="s">
        <v>143</v>
      </c>
      <c r="G125" s="7" t="s">
        <v>444</v>
      </c>
      <c r="H125" s="8">
        <v>43355</v>
      </c>
      <c r="I125" s="9">
        <v>574774</v>
      </c>
      <c r="J125" s="10">
        <v>3.7</v>
      </c>
      <c r="K125" s="7" t="s">
        <v>124</v>
      </c>
      <c r="L125" s="7" t="s">
        <v>125</v>
      </c>
      <c r="M125" s="7" t="s">
        <v>126</v>
      </c>
      <c r="N125" s="7" t="s">
        <v>170</v>
      </c>
      <c r="O125" s="7" t="s">
        <v>100</v>
      </c>
      <c r="P125" s="7" t="s">
        <v>213</v>
      </c>
      <c r="Q125" s="7">
        <v>6.7</v>
      </c>
      <c r="R125" s="7" t="s">
        <v>87</v>
      </c>
      <c r="S125" s="7" t="s">
        <v>753</v>
      </c>
    </row>
    <row r="126" spans="1:19" ht="15.75" customHeight="1">
      <c r="A126" s="7" t="s">
        <v>754</v>
      </c>
      <c r="B126" s="7" t="s">
        <v>413</v>
      </c>
      <c r="C126" s="7" t="s">
        <v>331</v>
      </c>
      <c r="D126" s="7" t="s">
        <v>755</v>
      </c>
      <c r="E126" s="7" t="s">
        <v>756</v>
      </c>
      <c r="F126" s="7" t="s">
        <v>117</v>
      </c>
      <c r="G126" s="7" t="s">
        <v>757</v>
      </c>
      <c r="H126" s="8">
        <v>44723</v>
      </c>
      <c r="I126" s="9">
        <v>367074</v>
      </c>
      <c r="J126" s="10">
        <v>4.8</v>
      </c>
      <c r="K126" s="7" t="s">
        <v>547</v>
      </c>
      <c r="L126" s="7"/>
      <c r="M126" s="7"/>
      <c r="N126" s="7" t="s">
        <v>199</v>
      </c>
      <c r="O126" s="7" t="s">
        <v>100</v>
      </c>
      <c r="P126" s="7" t="s">
        <v>206</v>
      </c>
      <c r="Q126" s="7">
        <v>3</v>
      </c>
      <c r="R126" s="7" t="s">
        <v>138</v>
      </c>
      <c r="S126" s="7" t="s">
        <v>758</v>
      </c>
    </row>
    <row r="127" spans="1:19" ht="15.75" customHeight="1">
      <c r="A127" s="7" t="s">
        <v>759</v>
      </c>
      <c r="B127" s="7" t="s">
        <v>320</v>
      </c>
      <c r="C127" s="7" t="s">
        <v>760</v>
      </c>
      <c r="D127" s="7" t="s">
        <v>761</v>
      </c>
      <c r="E127" s="7" t="s">
        <v>762</v>
      </c>
      <c r="F127" s="7" t="s">
        <v>143</v>
      </c>
      <c r="G127" s="7" t="s">
        <v>568</v>
      </c>
      <c r="H127" s="8">
        <v>44749</v>
      </c>
      <c r="I127" s="9">
        <v>1487990</v>
      </c>
      <c r="J127" s="10">
        <v>2.2999999999999998</v>
      </c>
      <c r="K127" s="7" t="s">
        <v>97</v>
      </c>
      <c r="L127" s="7" t="s">
        <v>98</v>
      </c>
      <c r="M127" s="7" t="s">
        <v>99</v>
      </c>
      <c r="N127" s="7" t="s">
        <v>229</v>
      </c>
      <c r="O127" s="7" t="s">
        <v>100</v>
      </c>
      <c r="P127" s="7" t="s">
        <v>247</v>
      </c>
      <c r="Q127" s="7">
        <v>2.9</v>
      </c>
      <c r="R127" s="7" t="s">
        <v>87</v>
      </c>
      <c r="S127" s="7" t="s">
        <v>763</v>
      </c>
    </row>
    <row r="128" spans="1:19" ht="15.75" customHeight="1">
      <c r="A128" s="7" t="s">
        <v>764</v>
      </c>
      <c r="B128" s="7" t="s">
        <v>91</v>
      </c>
      <c r="C128" s="7" t="s">
        <v>331</v>
      </c>
      <c r="D128" s="7" t="s">
        <v>765</v>
      </c>
      <c r="E128" s="7" t="s">
        <v>766</v>
      </c>
      <c r="F128" s="7" t="s">
        <v>89</v>
      </c>
      <c r="G128" s="7" t="s">
        <v>410</v>
      </c>
      <c r="H128" s="8">
        <v>42932</v>
      </c>
      <c r="I128" s="9">
        <v>1086061</v>
      </c>
      <c r="J128" s="10">
        <v>2.5</v>
      </c>
      <c r="K128" s="7" t="s">
        <v>112</v>
      </c>
      <c r="L128" s="7" t="s">
        <v>113</v>
      </c>
      <c r="M128" s="7" t="s">
        <v>301</v>
      </c>
      <c r="N128" s="7" t="s">
        <v>118</v>
      </c>
      <c r="O128" s="7" t="s">
        <v>186</v>
      </c>
      <c r="P128" s="7" t="s">
        <v>127</v>
      </c>
      <c r="Q128" s="7">
        <v>7.9</v>
      </c>
      <c r="R128" s="7" t="s">
        <v>87</v>
      </c>
      <c r="S128" s="7" t="s">
        <v>767</v>
      </c>
    </row>
    <row r="129" spans="1:19" ht="15.75" customHeight="1">
      <c r="A129" s="7" t="s">
        <v>768</v>
      </c>
      <c r="B129" s="7" t="s">
        <v>769</v>
      </c>
      <c r="C129" s="7" t="s">
        <v>305</v>
      </c>
      <c r="D129" s="7" t="s">
        <v>770</v>
      </c>
      <c r="E129" s="7" t="s">
        <v>771</v>
      </c>
      <c r="F129" s="7" t="s">
        <v>143</v>
      </c>
      <c r="G129" s="7" t="s">
        <v>323</v>
      </c>
      <c r="H129" s="8">
        <v>42541</v>
      </c>
      <c r="I129" s="9">
        <v>698754</v>
      </c>
      <c r="J129" s="10">
        <v>2.5</v>
      </c>
      <c r="K129" s="7" t="s">
        <v>253</v>
      </c>
      <c r="L129" s="7" t="s">
        <v>254</v>
      </c>
      <c r="M129" s="7" t="s">
        <v>255</v>
      </c>
      <c r="N129" s="7" t="s">
        <v>249</v>
      </c>
      <c r="O129" s="7" t="s">
        <v>100</v>
      </c>
      <c r="P129" s="7" t="s">
        <v>213</v>
      </c>
      <c r="Q129" s="7">
        <v>8.9</v>
      </c>
      <c r="R129" s="7" t="s">
        <v>138</v>
      </c>
      <c r="S129" s="7" t="s">
        <v>772</v>
      </c>
    </row>
    <row r="130" spans="1:19" ht="15.75" customHeight="1">
      <c r="A130" s="7" t="s">
        <v>773</v>
      </c>
      <c r="B130" s="7" t="s">
        <v>131</v>
      </c>
      <c r="C130" s="7" t="s">
        <v>305</v>
      </c>
      <c r="D130" s="7" t="s">
        <v>774</v>
      </c>
      <c r="E130" s="7" t="s">
        <v>775</v>
      </c>
      <c r="F130" s="7" t="s">
        <v>135</v>
      </c>
      <c r="G130" s="7" t="s">
        <v>420</v>
      </c>
      <c r="H130" s="8">
        <v>44505</v>
      </c>
      <c r="I130" s="9">
        <v>1224692</v>
      </c>
      <c r="J130" s="10">
        <v>4.3</v>
      </c>
      <c r="K130" s="7" t="s">
        <v>267</v>
      </c>
      <c r="L130" s="7" t="s">
        <v>268</v>
      </c>
      <c r="M130" s="7" t="s">
        <v>269</v>
      </c>
      <c r="N130" s="7" t="s">
        <v>154</v>
      </c>
      <c r="O130" s="7" t="s">
        <v>186</v>
      </c>
      <c r="P130" s="7" t="s">
        <v>152</v>
      </c>
      <c r="Q130" s="7">
        <v>3.6</v>
      </c>
      <c r="R130" s="7" t="s">
        <v>138</v>
      </c>
      <c r="S130" s="7" t="s">
        <v>776</v>
      </c>
    </row>
    <row r="131" spans="1:19" ht="15.75" customHeight="1">
      <c r="A131" s="7" t="s">
        <v>777</v>
      </c>
      <c r="B131" s="7" t="s">
        <v>223</v>
      </c>
      <c r="C131" s="7" t="s">
        <v>210</v>
      </c>
      <c r="D131" s="7" t="s">
        <v>778</v>
      </c>
      <c r="E131" s="7" t="s">
        <v>779</v>
      </c>
      <c r="F131" s="7" t="s">
        <v>169</v>
      </c>
      <c r="G131" s="7" t="s">
        <v>405</v>
      </c>
      <c r="H131" s="8">
        <v>43896</v>
      </c>
      <c r="I131" s="9">
        <v>823864</v>
      </c>
      <c r="J131" s="10">
        <v>4.3</v>
      </c>
      <c r="K131" s="7" t="s">
        <v>204</v>
      </c>
      <c r="L131" s="7" t="s">
        <v>161</v>
      </c>
      <c r="M131" s="7" t="s">
        <v>205</v>
      </c>
      <c r="N131" s="7" t="s">
        <v>229</v>
      </c>
      <c r="O131" s="7" t="s">
        <v>100</v>
      </c>
      <c r="P131" s="7" t="s">
        <v>197</v>
      </c>
      <c r="Q131" s="7">
        <v>5.2</v>
      </c>
      <c r="R131" s="7" t="s">
        <v>138</v>
      </c>
      <c r="S131" s="7" t="s">
        <v>780</v>
      </c>
    </row>
    <row r="132" spans="1:19" ht="15.75" customHeight="1">
      <c r="A132" s="7" t="s">
        <v>781</v>
      </c>
      <c r="B132" s="7" t="s">
        <v>413</v>
      </c>
      <c r="C132" s="7" t="s">
        <v>156</v>
      </c>
      <c r="D132" s="7" t="s">
        <v>782</v>
      </c>
      <c r="E132" s="7" t="s">
        <v>783</v>
      </c>
      <c r="F132" s="7" t="s">
        <v>104</v>
      </c>
      <c r="G132" s="7" t="s">
        <v>784</v>
      </c>
      <c r="H132" s="8">
        <v>45585</v>
      </c>
      <c r="I132" s="9">
        <v>2547311</v>
      </c>
      <c r="J132" s="10">
        <v>3.7</v>
      </c>
      <c r="K132" s="7" t="s">
        <v>183</v>
      </c>
      <c r="L132" s="7" t="s">
        <v>184</v>
      </c>
      <c r="M132" s="7" t="s">
        <v>185</v>
      </c>
      <c r="N132" s="7" t="s">
        <v>229</v>
      </c>
      <c r="O132" s="7" t="s">
        <v>100</v>
      </c>
      <c r="P132" s="7" t="s">
        <v>187</v>
      </c>
      <c r="Q132" s="7">
        <v>0.6</v>
      </c>
      <c r="R132" s="7" t="s">
        <v>138</v>
      </c>
      <c r="S132" s="7" t="s">
        <v>785</v>
      </c>
    </row>
    <row r="133" spans="1:19" ht="15.75" customHeight="1">
      <c r="A133" s="7" t="s">
        <v>786</v>
      </c>
      <c r="B133" s="7" t="s">
        <v>486</v>
      </c>
      <c r="C133" s="7" t="s">
        <v>149</v>
      </c>
      <c r="D133" s="7" t="s">
        <v>787</v>
      </c>
      <c r="E133" s="7" t="s">
        <v>788</v>
      </c>
      <c r="F133" s="7" t="s">
        <v>95</v>
      </c>
      <c r="G133" s="7" t="s">
        <v>561</v>
      </c>
      <c r="H133" s="8">
        <v>45408</v>
      </c>
      <c r="I133" s="9">
        <v>1064680</v>
      </c>
      <c r="J133" s="10">
        <v>2.2999999999999998</v>
      </c>
      <c r="K133" s="7" t="s">
        <v>195</v>
      </c>
      <c r="L133" s="7" t="s">
        <v>113</v>
      </c>
      <c r="M133" s="7" t="s">
        <v>260</v>
      </c>
      <c r="N133" s="7" t="s">
        <v>215</v>
      </c>
      <c r="O133" s="7" t="s">
        <v>100</v>
      </c>
      <c r="P133" s="7" t="s">
        <v>247</v>
      </c>
      <c r="Q133" s="7">
        <v>1.1000000000000001</v>
      </c>
      <c r="R133" s="7" t="s">
        <v>87</v>
      </c>
      <c r="S133" s="7" t="s">
        <v>789</v>
      </c>
    </row>
    <row r="134" spans="1:19" ht="15.75" customHeight="1">
      <c r="A134" s="7" t="s">
        <v>790</v>
      </c>
      <c r="B134" s="7" t="s">
        <v>479</v>
      </c>
      <c r="C134" s="7" t="s">
        <v>210</v>
      </c>
      <c r="D134" s="7" t="s">
        <v>791</v>
      </c>
      <c r="E134" s="7" t="s">
        <v>792</v>
      </c>
      <c r="F134" s="7" t="s">
        <v>135</v>
      </c>
      <c r="G134" s="7" t="s">
        <v>420</v>
      </c>
      <c r="H134" s="8">
        <v>42339</v>
      </c>
      <c r="I134" s="9">
        <v>1248281</v>
      </c>
      <c r="J134" s="10">
        <v>2.7</v>
      </c>
      <c r="K134" s="7" t="s">
        <v>112</v>
      </c>
      <c r="L134" s="7" t="s">
        <v>113</v>
      </c>
      <c r="M134" s="7" t="s">
        <v>114</v>
      </c>
      <c r="N134" s="7" t="s">
        <v>118</v>
      </c>
      <c r="O134" s="7" t="s">
        <v>100</v>
      </c>
      <c r="P134" s="7" t="s">
        <v>197</v>
      </c>
      <c r="Q134" s="7">
        <v>9.5</v>
      </c>
      <c r="R134" s="7" t="s">
        <v>138</v>
      </c>
      <c r="S134" s="7" t="s">
        <v>793</v>
      </c>
    </row>
    <row r="135" spans="1:19" ht="15.75" customHeight="1">
      <c r="A135" s="7" t="s">
        <v>794</v>
      </c>
      <c r="B135" s="7" t="s">
        <v>795</v>
      </c>
      <c r="C135" s="7" t="s">
        <v>357</v>
      </c>
      <c r="D135" s="7" t="s">
        <v>796</v>
      </c>
      <c r="E135" s="7" t="s">
        <v>555</v>
      </c>
      <c r="F135" s="7" t="s">
        <v>129</v>
      </c>
      <c r="G135" s="7" t="s">
        <v>429</v>
      </c>
      <c r="H135" s="8">
        <v>43842</v>
      </c>
      <c r="I135" s="9">
        <v>951376</v>
      </c>
      <c r="J135" s="10">
        <v>4.7</v>
      </c>
      <c r="K135" s="7" t="s">
        <v>81</v>
      </c>
      <c r="L135" s="7" t="s">
        <v>82</v>
      </c>
      <c r="M135" s="7" t="s">
        <v>511</v>
      </c>
      <c r="N135" s="7" t="s">
        <v>164</v>
      </c>
      <c r="O135" s="7" t="s">
        <v>100</v>
      </c>
      <c r="P135" s="7" t="s">
        <v>197</v>
      </c>
      <c r="Q135" s="7">
        <v>5.4</v>
      </c>
      <c r="R135" s="7" t="s">
        <v>87</v>
      </c>
      <c r="S135" s="7" t="s">
        <v>797</v>
      </c>
    </row>
    <row r="136" spans="1:19" ht="15.75" customHeight="1">
      <c r="A136" s="7" t="s">
        <v>798</v>
      </c>
      <c r="B136" s="7" t="s">
        <v>479</v>
      </c>
      <c r="C136" s="7" t="s">
        <v>351</v>
      </c>
      <c r="D136" s="7" t="s">
        <v>799</v>
      </c>
      <c r="E136" s="7" t="s">
        <v>800</v>
      </c>
      <c r="F136" s="7" t="s">
        <v>117</v>
      </c>
      <c r="G136" s="7" t="s">
        <v>354</v>
      </c>
      <c r="H136" s="8">
        <v>42978</v>
      </c>
      <c r="I136" s="9">
        <v>1528944</v>
      </c>
      <c r="J136" s="10">
        <v>2.4</v>
      </c>
      <c r="K136" s="7" t="s">
        <v>801</v>
      </c>
      <c r="L136" s="7"/>
      <c r="M136" s="7"/>
      <c r="N136" s="7" t="s">
        <v>208</v>
      </c>
      <c r="O136" s="7" t="s">
        <v>85</v>
      </c>
      <c r="P136" s="7" t="s">
        <v>101</v>
      </c>
      <c r="Q136" s="7">
        <v>7.8</v>
      </c>
      <c r="R136" s="7" t="s">
        <v>138</v>
      </c>
      <c r="S136" s="7" t="s">
        <v>802</v>
      </c>
    </row>
    <row r="137" spans="1:19" ht="15.75" customHeight="1">
      <c r="A137" s="7" t="s">
        <v>803</v>
      </c>
      <c r="B137" s="7" t="s">
        <v>285</v>
      </c>
      <c r="C137" s="7" t="s">
        <v>216</v>
      </c>
      <c r="D137" s="7" t="s">
        <v>804</v>
      </c>
      <c r="E137" s="7" t="s">
        <v>805</v>
      </c>
      <c r="F137" s="7" t="s">
        <v>104</v>
      </c>
      <c r="G137" s="7" t="s">
        <v>259</v>
      </c>
      <c r="H137" s="8">
        <v>44360</v>
      </c>
      <c r="I137" s="9">
        <v>413422</v>
      </c>
      <c r="J137" s="10">
        <v>4.2</v>
      </c>
      <c r="K137" s="7" t="s">
        <v>112</v>
      </c>
      <c r="L137" s="7" t="s">
        <v>113</v>
      </c>
      <c r="M137" s="7" t="s">
        <v>301</v>
      </c>
      <c r="N137" s="7" t="s">
        <v>208</v>
      </c>
      <c r="O137" s="7" t="s">
        <v>100</v>
      </c>
      <c r="P137" s="7" t="s">
        <v>206</v>
      </c>
      <c r="Q137" s="7">
        <v>4</v>
      </c>
      <c r="R137" s="7" t="s">
        <v>138</v>
      </c>
      <c r="S137" s="7" t="s">
        <v>806</v>
      </c>
    </row>
    <row r="138" spans="1:19" ht="15.75" customHeight="1">
      <c r="A138" s="7" t="s">
        <v>807</v>
      </c>
      <c r="B138" s="7" t="s">
        <v>808</v>
      </c>
      <c r="C138" s="7" t="s">
        <v>107</v>
      </c>
      <c r="D138" s="7" t="s">
        <v>809</v>
      </c>
      <c r="E138" s="7" t="s">
        <v>810</v>
      </c>
      <c r="F138" s="7" t="s">
        <v>117</v>
      </c>
      <c r="G138" s="7" t="s">
        <v>757</v>
      </c>
      <c r="H138" s="8">
        <v>43482</v>
      </c>
      <c r="I138" s="9">
        <v>347741</v>
      </c>
      <c r="J138" s="10">
        <v>4.9000000000000004</v>
      </c>
      <c r="K138" s="7" t="s">
        <v>204</v>
      </c>
      <c r="L138" s="7" t="s">
        <v>161</v>
      </c>
      <c r="M138" s="7" t="s">
        <v>205</v>
      </c>
      <c r="N138" s="7" t="s">
        <v>229</v>
      </c>
      <c r="O138" s="7" t="s">
        <v>186</v>
      </c>
      <c r="P138" s="7" t="s">
        <v>247</v>
      </c>
      <c r="Q138" s="7">
        <v>6.4</v>
      </c>
      <c r="R138" s="7" t="s">
        <v>138</v>
      </c>
      <c r="S138" s="7" t="s">
        <v>811</v>
      </c>
    </row>
    <row r="139" spans="1:19" ht="15.75" customHeight="1">
      <c r="A139" s="7" t="s">
        <v>812</v>
      </c>
      <c r="B139" s="7" t="s">
        <v>200</v>
      </c>
      <c r="C139" s="7" t="s">
        <v>760</v>
      </c>
      <c r="D139" s="7" t="s">
        <v>813</v>
      </c>
      <c r="E139" s="7" t="s">
        <v>814</v>
      </c>
      <c r="F139" s="7" t="s">
        <v>143</v>
      </c>
      <c r="G139" s="7" t="s">
        <v>144</v>
      </c>
      <c r="H139" s="8">
        <v>45066</v>
      </c>
      <c r="I139" s="9">
        <v>404257</v>
      </c>
      <c r="J139" s="10">
        <v>3.1</v>
      </c>
      <c r="K139" s="7" t="s">
        <v>81</v>
      </c>
      <c r="L139" s="7" t="s">
        <v>82</v>
      </c>
      <c r="M139" s="7" t="s">
        <v>83</v>
      </c>
      <c r="N139" s="7" t="s">
        <v>189</v>
      </c>
      <c r="O139" s="7" t="s">
        <v>100</v>
      </c>
      <c r="P139" s="7" t="s">
        <v>213</v>
      </c>
      <c r="Q139" s="7">
        <v>2</v>
      </c>
      <c r="R139" s="7" t="s">
        <v>87</v>
      </c>
      <c r="S139" s="7" t="s">
        <v>815</v>
      </c>
    </row>
    <row r="140" spans="1:19" ht="15.75" customHeight="1">
      <c r="A140" s="7" t="s">
        <v>816</v>
      </c>
      <c r="B140" s="7" t="s">
        <v>106</v>
      </c>
      <c r="C140" s="7" t="s">
        <v>132</v>
      </c>
      <c r="D140" s="7" t="s">
        <v>817</v>
      </c>
      <c r="E140" s="7" t="s">
        <v>818</v>
      </c>
      <c r="F140" s="7" t="s">
        <v>143</v>
      </c>
      <c r="G140" s="7" t="s">
        <v>568</v>
      </c>
      <c r="H140" s="8">
        <v>42186</v>
      </c>
      <c r="I140" s="9">
        <v>1442353</v>
      </c>
      <c r="J140" s="10">
        <v>3.6</v>
      </c>
      <c r="K140" s="7" t="s">
        <v>253</v>
      </c>
      <c r="L140" s="7" t="s">
        <v>254</v>
      </c>
      <c r="M140" s="7" t="s">
        <v>255</v>
      </c>
      <c r="N140" s="7" t="s">
        <v>215</v>
      </c>
      <c r="O140" s="7" t="s">
        <v>227</v>
      </c>
      <c r="P140" s="7" t="s">
        <v>145</v>
      </c>
      <c r="Q140" s="7">
        <v>9.9</v>
      </c>
      <c r="R140" s="7" t="s">
        <v>87</v>
      </c>
      <c r="S140" s="7" t="s">
        <v>819</v>
      </c>
    </row>
    <row r="141" spans="1:19" ht="15.75" customHeight="1">
      <c r="A141" s="7" t="s">
        <v>820</v>
      </c>
      <c r="B141" s="7" t="s">
        <v>454</v>
      </c>
      <c r="C141" s="7" t="s">
        <v>357</v>
      </c>
      <c r="D141" s="7" t="s">
        <v>821</v>
      </c>
      <c r="E141" s="7" t="s">
        <v>822</v>
      </c>
      <c r="F141" s="7" t="s">
        <v>89</v>
      </c>
      <c r="G141" s="7" t="s">
        <v>546</v>
      </c>
      <c r="H141" s="8">
        <v>43206</v>
      </c>
      <c r="I141" s="9">
        <v>702845</v>
      </c>
      <c r="J141" s="10">
        <v>2.1</v>
      </c>
      <c r="K141" s="7" t="s">
        <v>253</v>
      </c>
      <c r="L141" s="7" t="s">
        <v>254</v>
      </c>
      <c r="M141" s="7" t="s">
        <v>374</v>
      </c>
      <c r="N141" s="7" t="s">
        <v>90</v>
      </c>
      <c r="O141" s="7" t="s">
        <v>100</v>
      </c>
      <c r="P141" s="7" t="s">
        <v>187</v>
      </c>
      <c r="Q141" s="7">
        <v>7.1</v>
      </c>
      <c r="R141" s="7" t="s">
        <v>87</v>
      </c>
      <c r="S141" s="7" t="s">
        <v>823</v>
      </c>
    </row>
    <row r="142" spans="1:19" ht="15.75" customHeight="1">
      <c r="A142" s="7" t="s">
        <v>824</v>
      </c>
      <c r="B142" s="7" t="s">
        <v>543</v>
      </c>
      <c r="C142" s="7" t="s">
        <v>156</v>
      </c>
      <c r="D142" s="7" t="s">
        <v>825</v>
      </c>
      <c r="E142" s="7" t="s">
        <v>826</v>
      </c>
      <c r="F142" s="7" t="s">
        <v>104</v>
      </c>
      <c r="G142" s="7" t="s">
        <v>652</v>
      </c>
      <c r="H142" s="8">
        <v>43176</v>
      </c>
      <c r="I142" s="9">
        <v>1243578</v>
      </c>
      <c r="J142" s="10">
        <v>4.5999999999999996</v>
      </c>
      <c r="K142" s="7" t="s">
        <v>81</v>
      </c>
      <c r="L142" s="7" t="s">
        <v>82</v>
      </c>
      <c r="M142" s="7" t="s">
        <v>235</v>
      </c>
      <c r="N142" s="7" t="s">
        <v>177</v>
      </c>
      <c r="O142" s="7" t="s">
        <v>100</v>
      </c>
      <c r="P142" s="7" t="s">
        <v>115</v>
      </c>
      <c r="Q142" s="7">
        <v>7.2</v>
      </c>
      <c r="R142" s="7" t="s">
        <v>138</v>
      </c>
      <c r="S142" s="7" t="s">
        <v>827</v>
      </c>
    </row>
    <row r="143" spans="1:19" ht="15.75" customHeight="1">
      <c r="A143" s="7" t="s">
        <v>828</v>
      </c>
      <c r="B143" s="7" t="s">
        <v>503</v>
      </c>
      <c r="C143" s="7" t="s">
        <v>76</v>
      </c>
      <c r="D143" s="7" t="s">
        <v>829</v>
      </c>
      <c r="E143" s="7" t="s">
        <v>830</v>
      </c>
      <c r="F143" s="7" t="s">
        <v>89</v>
      </c>
      <c r="G143" s="7" t="s">
        <v>390</v>
      </c>
      <c r="H143" s="8">
        <v>43393</v>
      </c>
      <c r="I143" s="9">
        <v>1198973</v>
      </c>
      <c r="J143" s="10">
        <v>3.5</v>
      </c>
      <c r="K143" s="7" t="s">
        <v>160</v>
      </c>
      <c r="L143" s="7" t="s">
        <v>161</v>
      </c>
      <c r="M143" s="7" t="s">
        <v>162</v>
      </c>
      <c r="N143" s="7" t="s">
        <v>189</v>
      </c>
      <c r="O143" s="7" t="s">
        <v>186</v>
      </c>
      <c r="P143" s="7" t="s">
        <v>187</v>
      </c>
      <c r="Q143" s="7">
        <v>6.6</v>
      </c>
      <c r="R143" s="7" t="s">
        <v>138</v>
      </c>
      <c r="S143" s="7" t="s">
        <v>831</v>
      </c>
    </row>
    <row r="144" spans="1:19" ht="15.75" customHeight="1">
      <c r="A144" s="7" t="s">
        <v>832</v>
      </c>
      <c r="B144" s="7" t="s">
        <v>171</v>
      </c>
      <c r="C144" s="7" t="s">
        <v>351</v>
      </c>
      <c r="D144" s="7" t="s">
        <v>833</v>
      </c>
      <c r="E144" s="7" t="s">
        <v>834</v>
      </c>
      <c r="F144" s="7" t="s">
        <v>169</v>
      </c>
      <c r="G144" s="7" t="s">
        <v>203</v>
      </c>
      <c r="H144" s="8">
        <v>44239</v>
      </c>
      <c r="I144" s="9">
        <v>1027009</v>
      </c>
      <c r="J144" s="10">
        <v>3</v>
      </c>
      <c r="K144" s="7" t="s">
        <v>81</v>
      </c>
      <c r="L144" s="7" t="s">
        <v>82</v>
      </c>
      <c r="M144" s="7" t="s">
        <v>83</v>
      </c>
      <c r="N144" s="7" t="s">
        <v>177</v>
      </c>
      <c r="O144" s="7" t="s">
        <v>100</v>
      </c>
      <c r="P144" s="7" t="s">
        <v>187</v>
      </c>
      <c r="Q144" s="7">
        <v>4.3</v>
      </c>
      <c r="R144" s="7" t="s">
        <v>138</v>
      </c>
      <c r="S144" s="7" t="s">
        <v>835</v>
      </c>
    </row>
    <row r="145" spans="1:19" ht="15.75" customHeight="1">
      <c r="A145" s="7" t="s">
        <v>836</v>
      </c>
      <c r="B145" s="7" t="s">
        <v>278</v>
      </c>
      <c r="C145" s="7" t="s">
        <v>357</v>
      </c>
      <c r="D145" s="7" t="s">
        <v>837</v>
      </c>
      <c r="E145" s="7" t="s">
        <v>838</v>
      </c>
      <c r="F145" s="7" t="s">
        <v>89</v>
      </c>
      <c r="G145" s="7" t="s">
        <v>506</v>
      </c>
      <c r="H145" s="8">
        <v>43836</v>
      </c>
      <c r="I145" s="9">
        <v>861103</v>
      </c>
      <c r="J145" s="10">
        <v>4.2</v>
      </c>
      <c r="K145" s="7" t="s">
        <v>482</v>
      </c>
      <c r="L145" s="7" t="s">
        <v>482</v>
      </c>
      <c r="M145" s="7" t="s">
        <v>483</v>
      </c>
      <c r="N145" s="7" t="s">
        <v>249</v>
      </c>
      <c r="O145" s="7" t="s">
        <v>100</v>
      </c>
      <c r="P145" s="7" t="s">
        <v>187</v>
      </c>
      <c r="Q145" s="7">
        <v>5.4</v>
      </c>
      <c r="R145" s="7" t="s">
        <v>138</v>
      </c>
      <c r="S145" s="7" t="s">
        <v>839</v>
      </c>
    </row>
    <row r="146" spans="1:19" ht="15.75" customHeight="1">
      <c r="A146" s="7" t="s">
        <v>840</v>
      </c>
      <c r="B146" s="7" t="s">
        <v>454</v>
      </c>
      <c r="C146" s="7" t="s">
        <v>305</v>
      </c>
      <c r="D146" s="7" t="s">
        <v>841</v>
      </c>
      <c r="E146" s="7" t="s">
        <v>842</v>
      </c>
      <c r="F146" s="7" t="s">
        <v>110</v>
      </c>
      <c r="G146" s="7" t="s">
        <v>111</v>
      </c>
      <c r="H146" s="8">
        <v>44106</v>
      </c>
      <c r="I146" s="9">
        <v>491939</v>
      </c>
      <c r="J146" s="10">
        <v>4.9000000000000004</v>
      </c>
      <c r="K146" s="7" t="s">
        <v>843</v>
      </c>
      <c r="L146" s="7"/>
      <c r="M146" s="7"/>
      <c r="N146" s="7" t="s">
        <v>249</v>
      </c>
      <c r="O146" s="7" t="s">
        <v>227</v>
      </c>
      <c r="P146" s="7" t="s">
        <v>247</v>
      </c>
      <c r="Q146" s="7">
        <v>4.7</v>
      </c>
      <c r="R146" s="7" t="s">
        <v>87</v>
      </c>
      <c r="S146" s="7" t="s">
        <v>844</v>
      </c>
    </row>
    <row r="147" spans="1:19" ht="15.75" customHeight="1">
      <c r="A147" s="7" t="s">
        <v>845</v>
      </c>
      <c r="B147" s="7" t="s">
        <v>106</v>
      </c>
      <c r="C147" s="7" t="s">
        <v>293</v>
      </c>
      <c r="D147" s="7" t="s">
        <v>846</v>
      </c>
      <c r="E147" s="7" t="s">
        <v>847</v>
      </c>
      <c r="F147" s="7" t="s">
        <v>143</v>
      </c>
      <c r="G147" s="7" t="s">
        <v>144</v>
      </c>
      <c r="H147" s="8">
        <v>43573</v>
      </c>
      <c r="I147" s="9">
        <v>548699</v>
      </c>
      <c r="J147" s="10">
        <v>2.1</v>
      </c>
      <c r="K147" s="7" t="s">
        <v>183</v>
      </c>
      <c r="L147" s="7" t="s">
        <v>184</v>
      </c>
      <c r="M147" s="7" t="s">
        <v>308</v>
      </c>
      <c r="N147" s="7" t="s">
        <v>215</v>
      </c>
      <c r="O147" s="7" t="s">
        <v>100</v>
      </c>
      <c r="P147" s="7" t="s">
        <v>339</v>
      </c>
      <c r="Q147" s="7">
        <v>6.1</v>
      </c>
      <c r="R147" s="7" t="s">
        <v>87</v>
      </c>
      <c r="S147" s="7" t="s">
        <v>848</v>
      </c>
    </row>
    <row r="148" spans="1:19" ht="15.75" customHeight="1">
      <c r="A148" s="7" t="s">
        <v>849</v>
      </c>
      <c r="B148" s="7" t="s">
        <v>736</v>
      </c>
      <c r="C148" s="7" t="s">
        <v>315</v>
      </c>
      <c r="D148" s="7" t="s">
        <v>850</v>
      </c>
      <c r="E148" s="7" t="s">
        <v>851</v>
      </c>
      <c r="F148" s="7" t="s">
        <v>95</v>
      </c>
      <c r="G148" s="7" t="s">
        <v>451</v>
      </c>
      <c r="H148" s="8">
        <v>43635</v>
      </c>
      <c r="I148" s="9">
        <v>1632414</v>
      </c>
      <c r="J148" s="10">
        <v>3.9</v>
      </c>
      <c r="K148" s="7" t="s">
        <v>195</v>
      </c>
      <c r="L148" s="7" t="s">
        <v>113</v>
      </c>
      <c r="M148" s="7" t="s">
        <v>260</v>
      </c>
      <c r="N148" s="7" t="s">
        <v>118</v>
      </c>
      <c r="O148" s="7" t="s">
        <v>100</v>
      </c>
      <c r="P148" s="7" t="s">
        <v>213</v>
      </c>
      <c r="Q148" s="7">
        <v>6</v>
      </c>
      <c r="R148" s="7" t="s">
        <v>87</v>
      </c>
      <c r="S148" s="7" t="s">
        <v>852</v>
      </c>
    </row>
    <row r="149" spans="1:19" ht="15.75" customHeight="1">
      <c r="A149" s="7" t="s">
        <v>853</v>
      </c>
      <c r="B149" s="7" t="s">
        <v>503</v>
      </c>
      <c r="C149" s="7" t="s">
        <v>216</v>
      </c>
      <c r="D149" s="7" t="s">
        <v>854</v>
      </c>
      <c r="E149" s="7" t="s">
        <v>855</v>
      </c>
      <c r="F149" s="7" t="s">
        <v>117</v>
      </c>
      <c r="G149" s="7" t="s">
        <v>354</v>
      </c>
      <c r="H149" s="8">
        <v>45179</v>
      </c>
      <c r="I149" s="9">
        <v>1518233</v>
      </c>
      <c r="J149" s="10">
        <v>4.0999999999999996</v>
      </c>
      <c r="K149" s="7" t="s">
        <v>253</v>
      </c>
      <c r="L149" s="7" t="s">
        <v>254</v>
      </c>
      <c r="M149" s="7" t="s">
        <v>374</v>
      </c>
      <c r="N149" s="7" t="s">
        <v>249</v>
      </c>
      <c r="O149" s="7" t="s">
        <v>100</v>
      </c>
      <c r="P149" s="7" t="s">
        <v>213</v>
      </c>
      <c r="Q149" s="7">
        <v>1.7</v>
      </c>
      <c r="R149" s="7" t="s">
        <v>138</v>
      </c>
      <c r="S149" s="7" t="s">
        <v>856</v>
      </c>
    </row>
    <row r="150" spans="1:19" ht="15.75" customHeight="1">
      <c r="A150" s="7" t="s">
        <v>857</v>
      </c>
      <c r="B150" s="7" t="s">
        <v>497</v>
      </c>
      <c r="C150" s="7" t="s">
        <v>298</v>
      </c>
      <c r="D150" s="7" t="s">
        <v>858</v>
      </c>
      <c r="E150" s="7" t="s">
        <v>859</v>
      </c>
      <c r="F150" s="7" t="s">
        <v>89</v>
      </c>
      <c r="G150" s="7" t="s">
        <v>410</v>
      </c>
      <c r="H150" s="8">
        <v>44926</v>
      </c>
      <c r="I150" s="9">
        <v>1166683</v>
      </c>
      <c r="J150" s="10">
        <v>5</v>
      </c>
      <c r="K150" s="7" t="s">
        <v>112</v>
      </c>
      <c r="L150" s="7" t="s">
        <v>113</v>
      </c>
      <c r="M150" s="7" t="s">
        <v>114</v>
      </c>
      <c r="N150" s="7" t="s">
        <v>189</v>
      </c>
      <c r="O150" s="7" t="s">
        <v>100</v>
      </c>
      <c r="P150" s="7" t="s">
        <v>127</v>
      </c>
      <c r="Q150" s="7">
        <v>2.4</v>
      </c>
      <c r="R150" s="7" t="s">
        <v>87</v>
      </c>
      <c r="S150" s="7" t="s">
        <v>860</v>
      </c>
    </row>
    <row r="151" spans="1:19" ht="15.75" customHeight="1">
      <c r="A151" s="7" t="s">
        <v>861</v>
      </c>
      <c r="B151" s="7" t="s">
        <v>148</v>
      </c>
      <c r="C151" s="7" t="s">
        <v>357</v>
      </c>
      <c r="D151" s="7" t="s">
        <v>862</v>
      </c>
      <c r="E151" s="7" t="s">
        <v>863</v>
      </c>
      <c r="F151" s="7" t="s">
        <v>129</v>
      </c>
      <c r="G151" s="7" t="s">
        <v>435</v>
      </c>
      <c r="H151" s="8">
        <v>44088</v>
      </c>
      <c r="I151" s="9">
        <v>558783</v>
      </c>
      <c r="J151" s="10">
        <v>2.4</v>
      </c>
      <c r="K151" s="7" t="s">
        <v>253</v>
      </c>
      <c r="L151" s="7" t="s">
        <v>254</v>
      </c>
      <c r="M151" s="7" t="s">
        <v>374</v>
      </c>
      <c r="N151" s="7" t="s">
        <v>130</v>
      </c>
      <c r="O151" s="7" t="s">
        <v>100</v>
      </c>
      <c r="P151" s="7" t="s">
        <v>101</v>
      </c>
      <c r="Q151" s="7">
        <v>4.7</v>
      </c>
      <c r="R151" s="7" t="s">
        <v>87</v>
      </c>
      <c r="S151" s="7" t="s">
        <v>864</v>
      </c>
    </row>
    <row r="152" spans="1:19" ht="15.75" customHeight="1">
      <c r="A152" s="7" t="s">
        <v>130</v>
      </c>
      <c r="B152" s="7" t="s">
        <v>131</v>
      </c>
      <c r="C152" s="7" t="s">
        <v>132</v>
      </c>
      <c r="D152" s="7" t="s">
        <v>133</v>
      </c>
      <c r="E152" s="7" t="s">
        <v>134</v>
      </c>
      <c r="F152" s="7" t="s">
        <v>135</v>
      </c>
      <c r="G152" s="7" t="s">
        <v>136</v>
      </c>
      <c r="H152" s="8">
        <v>42192</v>
      </c>
      <c r="I152" s="9">
        <v>559742</v>
      </c>
      <c r="J152" s="10">
        <v>4.3</v>
      </c>
      <c r="K152" s="7" t="s">
        <v>137</v>
      </c>
      <c r="L152" s="7"/>
      <c r="M152" s="7"/>
      <c r="N152" s="7" t="s">
        <v>84</v>
      </c>
      <c r="O152" s="7" t="s">
        <v>100</v>
      </c>
      <c r="P152" s="7" t="s">
        <v>115</v>
      </c>
      <c r="Q152" s="7">
        <v>9.9</v>
      </c>
      <c r="R152" s="7" t="s">
        <v>138</v>
      </c>
      <c r="S152" s="7" t="s">
        <v>139</v>
      </c>
    </row>
    <row r="153" spans="1:19" ht="15.75" customHeight="1">
      <c r="A153" s="7" t="s">
        <v>314</v>
      </c>
      <c r="B153" s="7" t="s">
        <v>106</v>
      </c>
      <c r="C153" s="7" t="s">
        <v>315</v>
      </c>
      <c r="D153" s="7" t="s">
        <v>316</v>
      </c>
      <c r="E153" s="7" t="s">
        <v>317</v>
      </c>
      <c r="F153" s="7" t="s">
        <v>79</v>
      </c>
      <c r="G153" s="7" t="s">
        <v>80</v>
      </c>
      <c r="H153" s="8">
        <v>45041</v>
      </c>
      <c r="I153" s="9">
        <v>1165824</v>
      </c>
      <c r="J153" s="10">
        <v>3.7</v>
      </c>
      <c r="K153" s="7" t="s">
        <v>97</v>
      </c>
      <c r="L153" s="7" t="s">
        <v>98</v>
      </c>
      <c r="M153" s="7" t="s">
        <v>99</v>
      </c>
      <c r="N153" s="7" t="s">
        <v>237</v>
      </c>
      <c r="O153" s="7" t="s">
        <v>100</v>
      </c>
      <c r="P153" s="7" t="s">
        <v>115</v>
      </c>
      <c r="Q153" s="7">
        <v>2.1</v>
      </c>
      <c r="R153" s="7" t="s">
        <v>87</v>
      </c>
      <c r="S153" s="7" t="s">
        <v>318</v>
      </c>
    </row>
    <row r="154" spans="1:19" ht="15.75" customHeight="1">
      <c r="A154" s="7" t="s">
        <v>130</v>
      </c>
      <c r="B154" s="7" t="s">
        <v>131</v>
      </c>
      <c r="C154" s="7" t="s">
        <v>132</v>
      </c>
      <c r="D154" s="7" t="s">
        <v>133</v>
      </c>
      <c r="E154" s="7" t="s">
        <v>134</v>
      </c>
      <c r="F154" s="7" t="s">
        <v>135</v>
      </c>
      <c r="G154" s="7" t="s">
        <v>136</v>
      </c>
      <c r="H154" s="8">
        <v>42192</v>
      </c>
      <c r="I154" s="9">
        <v>559742</v>
      </c>
      <c r="J154" s="10">
        <v>4.3</v>
      </c>
      <c r="K154" s="7" t="s">
        <v>137</v>
      </c>
      <c r="L154" s="7"/>
      <c r="M154" s="7"/>
      <c r="N154" s="7" t="s">
        <v>84</v>
      </c>
      <c r="O154" s="7" t="s">
        <v>100</v>
      </c>
      <c r="P154" s="7" t="s">
        <v>115</v>
      </c>
      <c r="Q154" s="7">
        <v>9.9</v>
      </c>
      <c r="R154" s="7" t="s">
        <v>138</v>
      </c>
      <c r="S154" s="7" t="s">
        <v>139</v>
      </c>
    </row>
    <row r="155" spans="1:19" ht="15.75" customHeight="1"/>
    <row r="156" spans="1:19" ht="15.75" customHeight="1"/>
    <row r="157" spans="1:19" ht="15.75" customHeight="1"/>
    <row r="158" spans="1:19" ht="15.75" customHeight="1"/>
    <row r="159" spans="1:19" ht="15.75" customHeight="1"/>
    <row r="160" spans="1:19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S154" xr:uid="{00000000-0009-0000-0000-000001000000}"/>
  <pageMargins left="0.75" right="0.75" top="1" bottom="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A15" sqref="A15"/>
    </sheetView>
  </sheetViews>
  <sheetFormatPr defaultColWidth="14.453125" defaultRowHeight="15" customHeight="1"/>
  <cols>
    <col min="1" max="5" width="18" customWidth="1"/>
    <col min="6" max="26" width="8.7265625" customWidth="1"/>
  </cols>
  <sheetData>
    <row r="1" spans="1:5" ht="14.5">
      <c r="A1" s="13" t="s">
        <v>865</v>
      </c>
      <c r="B1" s="13" t="s">
        <v>866</v>
      </c>
      <c r="C1" s="13" t="s">
        <v>867</v>
      </c>
      <c r="D1" s="13" t="s">
        <v>868</v>
      </c>
      <c r="E1" s="13" t="s">
        <v>869</v>
      </c>
    </row>
    <row r="2" spans="1:5" ht="14.5">
      <c r="A2" s="7" t="s">
        <v>870</v>
      </c>
      <c r="B2" s="9">
        <v>300000</v>
      </c>
      <c r="C2" s="9">
        <v>500000</v>
      </c>
      <c r="D2" s="7">
        <v>5</v>
      </c>
      <c r="E2" s="7">
        <v>8</v>
      </c>
    </row>
    <row r="3" spans="1:5" ht="14.5">
      <c r="A3" s="7" t="s">
        <v>871</v>
      </c>
      <c r="B3" s="9">
        <v>500001</v>
      </c>
      <c r="C3" s="9">
        <v>800000</v>
      </c>
      <c r="D3" s="7">
        <v>10</v>
      </c>
      <c r="E3" s="7">
        <v>10</v>
      </c>
    </row>
    <row r="4" spans="1:5" ht="14.5">
      <c r="A4" s="7" t="s">
        <v>872</v>
      </c>
      <c r="B4" s="9">
        <v>800001</v>
      </c>
      <c r="C4" s="9">
        <v>1200000</v>
      </c>
      <c r="D4" s="7">
        <v>15</v>
      </c>
      <c r="E4" s="7">
        <v>12</v>
      </c>
    </row>
    <row r="5" spans="1:5" ht="14.5">
      <c r="A5" s="7" t="s">
        <v>873</v>
      </c>
      <c r="B5" s="9">
        <v>1200001</v>
      </c>
      <c r="C5" s="9">
        <v>1800000</v>
      </c>
      <c r="D5" s="7">
        <v>20</v>
      </c>
      <c r="E5" s="7">
        <v>15</v>
      </c>
    </row>
    <row r="6" spans="1:5" ht="14.5">
      <c r="A6" s="7" t="s">
        <v>874</v>
      </c>
      <c r="B6" s="9">
        <v>1800001</v>
      </c>
      <c r="C6" s="9">
        <v>2500000</v>
      </c>
      <c r="D6" s="7">
        <v>25</v>
      </c>
      <c r="E6" s="7">
        <v>18</v>
      </c>
    </row>
    <row r="7" spans="1:5" ht="14.5">
      <c r="A7" s="7" t="s">
        <v>875</v>
      </c>
      <c r="B7" s="9">
        <v>2500001</v>
      </c>
      <c r="C7" s="9">
        <v>4000000</v>
      </c>
      <c r="D7" s="7">
        <v>30</v>
      </c>
      <c r="E7" s="7">
        <v>22</v>
      </c>
    </row>
    <row r="9" spans="1:5" ht="14.5">
      <c r="A9" s="30" t="s">
        <v>876</v>
      </c>
      <c r="B9" s="18"/>
      <c r="C9" s="18"/>
      <c r="D9" s="18"/>
      <c r="E9" s="18"/>
    </row>
    <row r="10" spans="1:5" ht="15" customHeight="1">
      <c r="A10" s="31">
        <f>SUM(C2:C7)</f>
        <v>10800000</v>
      </c>
    </row>
    <row r="11" spans="1:5" ht="15" customHeight="1">
      <c r="A11" s="31">
        <f>SUM(C2:C7)</f>
        <v>10800000</v>
      </c>
    </row>
    <row r="12" spans="1:5" ht="15" customHeight="1">
      <c r="A12" s="31">
        <f>MIN(B2:B7)</f>
        <v>300000</v>
      </c>
    </row>
    <row r="13" spans="1:5" ht="15" customHeight="1">
      <c r="A13" s="31">
        <f>MAX(C2:C7)</f>
        <v>4000000</v>
      </c>
    </row>
    <row r="14" spans="1:5" ht="15" customHeight="1">
      <c r="A14" s="31">
        <f>AVERAGE(B2:B7)</f>
        <v>1183334.1666666667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9:E9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Named_Ranges_Lab</vt:lpstr>
      <vt:lpstr>Employee_Master</vt:lpstr>
      <vt:lpstr>Salary_Lookup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Kumar</cp:lastModifiedBy>
  <dcterms:created xsi:type="dcterms:W3CDTF">2026-06-10T15:57:22Z</dcterms:created>
  <dcterms:modified xsi:type="dcterms:W3CDTF">2026-06-11T10:11:57Z</dcterms:modified>
</cp:coreProperties>
</file>